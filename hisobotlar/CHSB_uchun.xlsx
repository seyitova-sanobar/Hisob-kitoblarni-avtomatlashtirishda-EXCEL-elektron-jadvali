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0" yWindow="150" windowWidth="8580" windowHeight="689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S39" i="1" l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R4" i="1" l="1"/>
  <c r="S4" i="1" s="1"/>
  <c r="C40" i="1"/>
  <c r="R39" i="1" l="1"/>
  <c r="T39" i="1" s="1"/>
  <c r="R38" i="1"/>
  <c r="T38" i="1" s="1"/>
  <c r="R37" i="1"/>
  <c r="T37" i="1" s="1"/>
  <c r="R36" i="1"/>
  <c r="T36" i="1" s="1"/>
  <c r="R35" i="1"/>
  <c r="T35" i="1" s="1"/>
  <c r="R34" i="1"/>
  <c r="T34" i="1" s="1"/>
  <c r="R33" i="1"/>
  <c r="T33" i="1" s="1"/>
  <c r="R32" i="1"/>
  <c r="T32" i="1" s="1"/>
  <c r="R31" i="1"/>
  <c r="T31" i="1" s="1"/>
  <c r="R30" i="1"/>
  <c r="T30" i="1" s="1"/>
  <c r="R29" i="1"/>
  <c r="T29" i="1" s="1"/>
  <c r="R28" i="1"/>
  <c r="T28" i="1" s="1"/>
  <c r="R27" i="1"/>
  <c r="T27" i="1" s="1"/>
  <c r="R26" i="1"/>
  <c r="T26" i="1" s="1"/>
  <c r="R25" i="1"/>
  <c r="T25" i="1" s="1"/>
  <c r="T24" i="1"/>
  <c r="R24" i="1"/>
  <c r="R23" i="1"/>
  <c r="T23" i="1" s="1"/>
  <c r="R22" i="1"/>
  <c r="T22" i="1" s="1"/>
  <c r="R21" i="1"/>
  <c r="T21" i="1" s="1"/>
  <c r="R20" i="1"/>
  <c r="T20" i="1" s="1"/>
  <c r="R19" i="1"/>
  <c r="T19" i="1" s="1"/>
  <c r="R18" i="1"/>
  <c r="T18" i="1" s="1"/>
  <c r="R17" i="1"/>
  <c r="T17" i="1" s="1"/>
  <c r="R16" i="1"/>
  <c r="T16" i="1" s="1"/>
  <c r="R15" i="1"/>
  <c r="T15" i="1" s="1"/>
  <c r="R14" i="1"/>
  <c r="T14" i="1" s="1"/>
  <c r="R13" i="1"/>
  <c r="T13" i="1" s="1"/>
  <c r="R12" i="1"/>
  <c r="T12" i="1" s="1"/>
  <c r="R11" i="1"/>
  <c r="T11" i="1" s="1"/>
  <c r="R10" i="1"/>
  <c r="T10" i="1" s="1"/>
  <c r="R9" i="1"/>
  <c r="T9" i="1" s="1"/>
  <c r="R8" i="1"/>
  <c r="T8" i="1" s="1"/>
  <c r="R7" i="1"/>
  <c r="T7" i="1" s="1"/>
  <c r="R6" i="1"/>
  <c r="T6" i="1" s="1"/>
  <c r="R5" i="1"/>
  <c r="T5" i="1" s="1"/>
  <c r="T4" i="1"/>
  <c r="A43" i="1" l="1"/>
  <c r="A44" i="1"/>
  <c r="A42" i="1"/>
  <c r="R40" i="1"/>
  <c r="S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T47" i="1"/>
  <c r="T46" i="1"/>
  <c r="T45" i="1"/>
  <c r="T44" i="1"/>
  <c r="A1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T41" i="1" l="1"/>
  <c r="T43" i="1" s="1"/>
  <c r="T42" i="1" l="1"/>
</calcChain>
</file>

<file path=xl/sharedStrings.xml><?xml version="1.0" encoding="utf-8"?>
<sst xmlns="http://schemas.openxmlformats.org/spreadsheetml/2006/main" count="23" uniqueCount="22">
  <si>
    <t>O'quvchilarning ismi-sharifi</t>
  </si>
  <si>
    <t>Jami ball</t>
  </si>
  <si>
    <t>Bahosi</t>
  </si>
  <si>
    <t>Foiz</t>
  </si>
  <si>
    <t>O'rtacha ball</t>
  </si>
  <si>
    <t>Metod  birlashma rahbari</t>
  </si>
  <si>
    <t>O'IBDO':</t>
  </si>
  <si>
    <t>Sinf</t>
  </si>
  <si>
    <t>Fan</t>
  </si>
  <si>
    <t>Chorak</t>
  </si>
  <si>
    <t>CHSB tartibi</t>
  </si>
  <si>
    <t>Fan o'qituvchi</t>
  </si>
  <si>
    <t>Topshiriqlar soni</t>
  </si>
  <si>
    <t>Maksimal ball</t>
  </si>
  <si>
    <t>IX</t>
  </si>
  <si>
    <t>Informatika va AT</t>
  </si>
  <si>
    <t>II</t>
  </si>
  <si>
    <t>O. Sultanov</t>
  </si>
  <si>
    <t>S. Seyitova</t>
  </si>
  <si>
    <t>O'zlashtirish:</t>
  </si>
  <si>
    <t>Samaradorlik: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</si>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</sst>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9" fontId="6" fillId="2" borderId="1" xfId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Лист1!$R$4:$R$39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44256"/>
        <c:axId val="152756608"/>
      </c:barChart>
      <c:catAx>
        <c:axId val="47344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52756608"/>
        <c:crosses val="autoZero"/>
        <c:auto val="1"/>
        <c:lblAlgn val="ctr"/>
        <c:lblOffset val="100"/>
        <c:noMultiLvlLbl val="0"/>
      </c:catAx>
      <c:valAx>
        <c:axId val="15275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4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17318</xdr:colOff>
      <xdr:row>44</xdr:row>
      <xdr:rowOff>190500</xdr:rowOff>
    </xdr:from>
    <xdr:to>
      <xdr:col>17</xdr:col>
      <xdr:colOff>0</xdr:colOff>
      <xdr:row>57</xdr:row>
      <xdr:rowOff>121228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"/>
  <sheetViews>
    <sheetView tabSelected="1" topLeftCell="C1" zoomScaleNormal="100" workbookViewId="0">
      <selection activeCell="F7" sqref="F7"/>
    </sheetView>
  </sheetViews>
  <sheetFormatPr defaultColWidth="8.81640625" defaultRowHeight="15.5" x14ac:dyDescent="0.35"/>
  <cols>
    <col min="1" max="1" width="8.81640625" style="1"/>
    <col min="2" max="2" width="32.7265625" style="1" customWidth="1"/>
    <col min="3" max="17" width="4.26953125" style="1" customWidth="1"/>
    <col min="18" max="18" width="8.81640625" style="1"/>
    <col min="19" max="19" width="10.54296875" style="1" bestFit="1" customWidth="1"/>
    <col min="20" max="22" width="8.81640625" style="1"/>
    <col min="23" max="23" width="34.7265625" style="1" customWidth="1"/>
    <col min="24" max="24" width="21.453125" style="1" customWidth="1"/>
    <col min="25" max="25" width="6.1796875" style="1" customWidth="1"/>
    <col min="26" max="39" width="6" style="1" customWidth="1"/>
    <col min="40" max="16384" width="8.81640625" style="1"/>
  </cols>
  <sheetData>
    <row r="1" spans="1:39" ht="28.9" customHeight="1" x14ac:dyDescent="0.35">
      <c r="A1" s="5" t="str">
        <f>CONCATENATE("Amudaryo tumani 22-sonli umumiy o'rta ta'lim maktabi ",X2,"-sinf o'quvchilarining ", X3,"  fanidan o'tkazilgan ", X4,"-chorak  ", X5,"- CHSB  tahlili")</f>
        <v>Amudaryo tumani 22-sonli umumiy o'rta ta'lim maktabi IX-sinf o'quvchilarining Informatika va AT  fanidan o'tkazilgan II-chorak  2- CHSB  tahlili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39" x14ac:dyDescent="0.35">
      <c r="A2" s="6" t="s">
        <v>21</v>
      </c>
      <c r="B2" s="6" t="s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 t="s">
        <v>1</v>
      </c>
      <c r="S2" s="6" t="s">
        <v>3</v>
      </c>
      <c r="T2" s="6" t="s">
        <v>2</v>
      </c>
      <c r="W2" s="8" t="s">
        <v>7</v>
      </c>
      <c r="X2" s="9" t="s">
        <v>14</v>
      </c>
    </row>
    <row r="3" spans="1:39" x14ac:dyDescent="0.35">
      <c r="A3" s="7"/>
      <c r="B3" s="7"/>
      <c r="C3" s="2">
        <f>Y10</f>
        <v>2.4</v>
      </c>
      <c r="D3" s="2">
        <f t="shared" ref="D3:Q3" si="0">Z10</f>
        <v>2.4</v>
      </c>
      <c r="E3" s="2">
        <f t="shared" si="0"/>
        <v>2</v>
      </c>
      <c r="F3" s="2">
        <f t="shared" si="0"/>
        <v>5</v>
      </c>
      <c r="G3" s="2">
        <f t="shared" si="0"/>
        <v>2.4</v>
      </c>
      <c r="H3" s="2">
        <f t="shared" si="0"/>
        <v>2.4</v>
      </c>
      <c r="I3" s="2">
        <f t="shared" si="0"/>
        <v>2.4</v>
      </c>
      <c r="J3" s="2">
        <f t="shared" si="0"/>
        <v>2.4</v>
      </c>
      <c r="K3" s="2">
        <f t="shared" si="0"/>
        <v>2.4</v>
      </c>
      <c r="L3" s="2">
        <f t="shared" si="0"/>
        <v>2.4</v>
      </c>
      <c r="M3" s="2">
        <f t="shared" si="0"/>
        <v>2.4</v>
      </c>
      <c r="N3" s="2">
        <f t="shared" si="0"/>
        <v>2</v>
      </c>
      <c r="O3" s="2">
        <f t="shared" si="0"/>
        <v>2</v>
      </c>
      <c r="P3" s="2">
        <f t="shared" si="0"/>
        <v>2.4</v>
      </c>
      <c r="Q3" s="2">
        <f t="shared" si="0"/>
        <v>5</v>
      </c>
      <c r="R3" s="2">
        <f>X10</f>
        <v>40</v>
      </c>
      <c r="S3" s="7"/>
      <c r="T3" s="7"/>
      <c r="W3" s="8" t="s">
        <v>8</v>
      </c>
      <c r="X3" s="9" t="s">
        <v>15</v>
      </c>
    </row>
    <row r="4" spans="1:39" x14ac:dyDescent="0.35">
      <c r="A4" s="2">
        <v>1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>
        <f>SUM(C4:Q4)</f>
        <v>0</v>
      </c>
      <c r="S4" s="13">
        <f>R4/R$3</f>
        <v>0</v>
      </c>
      <c r="T4" s="13" t="str">
        <f>IF(S4&gt;=86%,"5",IF(S4&gt;=66%,"4",IF(S4&gt;=30%,"3","2")))</f>
        <v>2</v>
      </c>
      <c r="W4" s="8" t="s">
        <v>9</v>
      </c>
      <c r="X4" s="9" t="s">
        <v>16</v>
      </c>
    </row>
    <row r="5" spans="1:39" x14ac:dyDescent="0.35">
      <c r="A5" s="2">
        <v>2</v>
      </c>
      <c r="B5" s="14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>
        <f>SUM(C5:Q5)</f>
        <v>0</v>
      </c>
      <c r="S5" s="13">
        <f t="shared" ref="S5:S39" si="1">R5/R$3</f>
        <v>0</v>
      </c>
      <c r="T5" s="13" t="str">
        <f t="shared" ref="T5:T39" si="2">IF(S5&gt;=86%,"5",IF(S5&gt;=66%,"4",IF(S5&gt;=30%,"3","2")))</f>
        <v>2</v>
      </c>
      <c r="W5" s="8" t="s">
        <v>10</v>
      </c>
      <c r="X5" s="9">
        <v>2</v>
      </c>
    </row>
    <row r="6" spans="1:39" x14ac:dyDescent="0.35">
      <c r="A6" s="2">
        <v>3</v>
      </c>
      <c r="B6" s="15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>
        <f>SUM(C6:Q6)</f>
        <v>0</v>
      </c>
      <c r="S6" s="13">
        <f t="shared" si="1"/>
        <v>0</v>
      </c>
      <c r="T6" s="13" t="str">
        <f t="shared" si="2"/>
        <v>2</v>
      </c>
      <c r="W6" s="8" t="s">
        <v>6</v>
      </c>
      <c r="X6" s="9" t="s">
        <v>17</v>
      </c>
    </row>
    <row r="7" spans="1:39" x14ac:dyDescent="0.35">
      <c r="A7" s="2">
        <v>4</v>
      </c>
      <c r="B7" s="15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>
        <f>SUM(C7:Q7)</f>
        <v>0</v>
      </c>
      <c r="S7" s="13">
        <f t="shared" si="1"/>
        <v>0</v>
      </c>
      <c r="T7" s="13" t="str">
        <f t="shared" si="2"/>
        <v>2</v>
      </c>
      <c r="W7" s="8" t="s">
        <v>5</v>
      </c>
      <c r="X7" s="9" t="s">
        <v>18</v>
      </c>
    </row>
    <row r="8" spans="1:39" x14ac:dyDescent="0.35">
      <c r="A8" s="2">
        <v>5</v>
      </c>
      <c r="B8" s="16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>
        <f>SUM(C8:Q8)</f>
        <v>0</v>
      </c>
      <c r="S8" s="13">
        <f t="shared" si="1"/>
        <v>0</v>
      </c>
      <c r="T8" s="13" t="str">
        <f t="shared" si="2"/>
        <v>2</v>
      </c>
      <c r="W8" s="8" t="s">
        <v>11</v>
      </c>
      <c r="X8" s="9" t="s">
        <v>18</v>
      </c>
    </row>
    <row r="9" spans="1:39" x14ac:dyDescent="0.35">
      <c r="A9" s="2">
        <v>6</v>
      </c>
      <c r="B9" s="1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>
        <f>SUM(C9:Q9)</f>
        <v>0</v>
      </c>
      <c r="S9" s="13">
        <f t="shared" si="1"/>
        <v>0</v>
      </c>
      <c r="T9" s="13" t="str">
        <f t="shared" si="2"/>
        <v>2</v>
      </c>
      <c r="W9" s="17" t="s">
        <v>12</v>
      </c>
      <c r="X9" s="18">
        <v>15</v>
      </c>
      <c r="Y9" s="2">
        <v>1</v>
      </c>
      <c r="Z9" s="2">
        <v>2</v>
      </c>
      <c r="AA9" s="2">
        <v>3</v>
      </c>
      <c r="AB9" s="2">
        <v>4</v>
      </c>
      <c r="AC9" s="2">
        <v>5</v>
      </c>
      <c r="AD9" s="2">
        <v>6</v>
      </c>
      <c r="AE9" s="2">
        <v>7</v>
      </c>
      <c r="AF9" s="2">
        <v>8</v>
      </c>
      <c r="AG9" s="2">
        <v>9</v>
      </c>
      <c r="AH9" s="2">
        <v>10</v>
      </c>
      <c r="AI9" s="2">
        <v>11</v>
      </c>
      <c r="AJ9" s="2">
        <v>12</v>
      </c>
      <c r="AK9" s="2">
        <v>13</v>
      </c>
      <c r="AL9" s="2">
        <v>14</v>
      </c>
      <c r="AM9" s="2">
        <v>15</v>
      </c>
    </row>
    <row r="10" spans="1:39" x14ac:dyDescent="0.35">
      <c r="A10" s="2">
        <v>7</v>
      </c>
      <c r="B10" s="1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>
        <f>SUM(C10:Q10)</f>
        <v>0</v>
      </c>
      <c r="S10" s="13">
        <f t="shared" si="1"/>
        <v>0</v>
      </c>
      <c r="T10" s="13" t="str">
        <f t="shared" si="2"/>
        <v>2</v>
      </c>
      <c r="W10" s="17" t="s">
        <v>13</v>
      </c>
      <c r="X10" s="18">
        <v>40</v>
      </c>
      <c r="Y10" s="11">
        <v>2.4</v>
      </c>
      <c r="Z10" s="11">
        <v>2.4</v>
      </c>
      <c r="AA10" s="11">
        <v>2</v>
      </c>
      <c r="AB10" s="11">
        <v>5</v>
      </c>
      <c r="AC10" s="11">
        <v>2.4</v>
      </c>
      <c r="AD10" s="11">
        <v>2.4</v>
      </c>
      <c r="AE10" s="11">
        <v>2.4</v>
      </c>
      <c r="AF10" s="11">
        <v>2.4</v>
      </c>
      <c r="AG10" s="11">
        <v>2.4</v>
      </c>
      <c r="AH10" s="11">
        <v>2.4</v>
      </c>
      <c r="AI10" s="11">
        <v>2.4</v>
      </c>
      <c r="AJ10" s="11">
        <v>2</v>
      </c>
      <c r="AK10" s="11">
        <v>2</v>
      </c>
      <c r="AL10" s="11">
        <v>2.4</v>
      </c>
      <c r="AM10" s="11">
        <v>5</v>
      </c>
    </row>
    <row r="11" spans="1:39" x14ac:dyDescent="0.35">
      <c r="A11" s="2">
        <v>8</v>
      </c>
      <c r="B11" s="15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>
        <f>SUM(C11:Q11)</f>
        <v>0</v>
      </c>
      <c r="S11" s="13">
        <f t="shared" si="1"/>
        <v>0</v>
      </c>
      <c r="T11" s="13" t="str">
        <f t="shared" si="2"/>
        <v>2</v>
      </c>
    </row>
    <row r="12" spans="1:39" x14ac:dyDescent="0.35">
      <c r="A12" s="2">
        <v>9</v>
      </c>
      <c r="B12" s="15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>
        <f>SUM(C12:Q12)</f>
        <v>0</v>
      </c>
      <c r="S12" s="13">
        <f t="shared" si="1"/>
        <v>0</v>
      </c>
      <c r="T12" s="13" t="str">
        <f t="shared" si="2"/>
        <v>2</v>
      </c>
    </row>
    <row r="13" spans="1:39" x14ac:dyDescent="0.35">
      <c r="A13" s="2">
        <v>10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>
        <f>SUM(C13:Q13)</f>
        <v>0</v>
      </c>
      <c r="S13" s="13">
        <f t="shared" si="1"/>
        <v>0</v>
      </c>
      <c r="T13" s="13" t="str">
        <f t="shared" si="2"/>
        <v>2</v>
      </c>
    </row>
    <row r="14" spans="1:39" x14ac:dyDescent="0.35">
      <c r="A14" s="2">
        <v>11</v>
      </c>
      <c r="B14" s="1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>
        <f>SUM(C14:Q14)</f>
        <v>0</v>
      </c>
      <c r="S14" s="13">
        <f t="shared" si="1"/>
        <v>0</v>
      </c>
      <c r="T14" s="13" t="str">
        <f t="shared" si="2"/>
        <v>2</v>
      </c>
    </row>
    <row r="15" spans="1:39" x14ac:dyDescent="0.35">
      <c r="A15" s="2">
        <v>12</v>
      </c>
      <c r="B15" s="1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>
        <f>SUM(C15:Q15)</f>
        <v>0</v>
      </c>
      <c r="S15" s="13">
        <f t="shared" si="1"/>
        <v>0</v>
      </c>
      <c r="T15" s="13" t="str">
        <f t="shared" si="2"/>
        <v>2</v>
      </c>
    </row>
    <row r="16" spans="1:39" x14ac:dyDescent="0.35">
      <c r="A16" s="2">
        <v>13</v>
      </c>
      <c r="B16" s="1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>
        <f>SUM(C16:Q16)</f>
        <v>0</v>
      </c>
      <c r="S16" s="13">
        <f t="shared" si="1"/>
        <v>0</v>
      </c>
      <c r="T16" s="13" t="str">
        <f t="shared" si="2"/>
        <v>2</v>
      </c>
    </row>
    <row r="17" spans="1:20" x14ac:dyDescent="0.35">
      <c r="A17" s="2">
        <v>14</v>
      </c>
      <c r="B17" s="1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>
        <f>SUM(C17:Q17)</f>
        <v>0</v>
      </c>
      <c r="S17" s="13">
        <f t="shared" si="1"/>
        <v>0</v>
      </c>
      <c r="T17" s="13" t="str">
        <f t="shared" si="2"/>
        <v>2</v>
      </c>
    </row>
    <row r="18" spans="1:20" x14ac:dyDescent="0.35">
      <c r="A18" s="2">
        <v>15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>
        <f>SUM(C18:Q18)</f>
        <v>0</v>
      </c>
      <c r="S18" s="13">
        <f t="shared" si="1"/>
        <v>0</v>
      </c>
      <c r="T18" s="13" t="str">
        <f t="shared" si="2"/>
        <v>2</v>
      </c>
    </row>
    <row r="19" spans="1:20" x14ac:dyDescent="0.35">
      <c r="A19" s="2">
        <v>16</v>
      </c>
      <c r="B19" s="1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>
        <f>SUM(C19:Q19)</f>
        <v>0</v>
      </c>
      <c r="S19" s="13">
        <f t="shared" si="1"/>
        <v>0</v>
      </c>
      <c r="T19" s="13" t="str">
        <f t="shared" si="2"/>
        <v>2</v>
      </c>
    </row>
    <row r="20" spans="1:20" x14ac:dyDescent="0.35">
      <c r="A20" s="2">
        <v>17</v>
      </c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2">
        <f>SUM(C20:Q20)</f>
        <v>0</v>
      </c>
      <c r="S20" s="13">
        <f t="shared" si="1"/>
        <v>0</v>
      </c>
      <c r="T20" s="13" t="str">
        <f t="shared" si="2"/>
        <v>2</v>
      </c>
    </row>
    <row r="21" spans="1:20" x14ac:dyDescent="0.35">
      <c r="A21" s="2">
        <v>18</v>
      </c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2">
        <f>SUM(C21:Q21)</f>
        <v>0</v>
      </c>
      <c r="S21" s="13">
        <f t="shared" si="1"/>
        <v>0</v>
      </c>
      <c r="T21" s="13" t="str">
        <f t="shared" si="2"/>
        <v>2</v>
      </c>
    </row>
    <row r="22" spans="1:20" x14ac:dyDescent="0.35">
      <c r="A22" s="2">
        <v>19</v>
      </c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2">
        <f>SUM(C22:Q22)</f>
        <v>0</v>
      </c>
      <c r="S22" s="13">
        <f t="shared" si="1"/>
        <v>0</v>
      </c>
      <c r="T22" s="13" t="str">
        <f t="shared" si="2"/>
        <v>2</v>
      </c>
    </row>
    <row r="23" spans="1:20" x14ac:dyDescent="0.35">
      <c r="A23" s="2">
        <v>20</v>
      </c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2">
        <f>SUM(C23:Q23)</f>
        <v>0</v>
      </c>
      <c r="S23" s="13">
        <f t="shared" si="1"/>
        <v>0</v>
      </c>
      <c r="T23" s="13" t="str">
        <f t="shared" si="2"/>
        <v>2</v>
      </c>
    </row>
    <row r="24" spans="1:20" x14ac:dyDescent="0.35">
      <c r="A24" s="2">
        <v>21</v>
      </c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2">
        <f>SUM(C24:Q24)</f>
        <v>0</v>
      </c>
      <c r="S24" s="13">
        <f t="shared" si="1"/>
        <v>0</v>
      </c>
      <c r="T24" s="13" t="str">
        <f t="shared" si="2"/>
        <v>2</v>
      </c>
    </row>
    <row r="25" spans="1:20" x14ac:dyDescent="0.35">
      <c r="A25" s="2">
        <v>22</v>
      </c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2">
        <f>SUM(C25:Q25)</f>
        <v>0</v>
      </c>
      <c r="S25" s="13">
        <f t="shared" si="1"/>
        <v>0</v>
      </c>
      <c r="T25" s="13" t="str">
        <f t="shared" si="2"/>
        <v>2</v>
      </c>
    </row>
    <row r="26" spans="1:20" x14ac:dyDescent="0.35">
      <c r="A26" s="2">
        <v>23</v>
      </c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2">
        <f>SUM(C26:Q26)</f>
        <v>0</v>
      </c>
      <c r="S26" s="13">
        <f t="shared" si="1"/>
        <v>0</v>
      </c>
      <c r="T26" s="13" t="str">
        <f t="shared" si="2"/>
        <v>2</v>
      </c>
    </row>
    <row r="27" spans="1:20" x14ac:dyDescent="0.35">
      <c r="A27" s="2">
        <v>24</v>
      </c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2">
        <f>SUM(C27:Q27)</f>
        <v>0</v>
      </c>
      <c r="S27" s="13">
        <f t="shared" si="1"/>
        <v>0</v>
      </c>
      <c r="T27" s="13" t="str">
        <f t="shared" si="2"/>
        <v>2</v>
      </c>
    </row>
    <row r="28" spans="1:20" x14ac:dyDescent="0.35">
      <c r="A28" s="2">
        <v>25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2">
        <f>SUM(C28:Q28)</f>
        <v>0</v>
      </c>
      <c r="S28" s="13">
        <f t="shared" si="1"/>
        <v>0</v>
      </c>
      <c r="T28" s="13" t="str">
        <f t="shared" si="2"/>
        <v>2</v>
      </c>
    </row>
    <row r="29" spans="1:20" x14ac:dyDescent="0.35">
      <c r="A29" s="2">
        <v>26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2">
        <f>SUM(C29:Q29)</f>
        <v>0</v>
      </c>
      <c r="S29" s="13">
        <f t="shared" si="1"/>
        <v>0</v>
      </c>
      <c r="T29" s="13" t="str">
        <f t="shared" si="2"/>
        <v>2</v>
      </c>
    </row>
    <row r="30" spans="1:20" x14ac:dyDescent="0.35">
      <c r="A30" s="2">
        <v>27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2">
        <f>SUM(C30:Q30)</f>
        <v>0</v>
      </c>
      <c r="S30" s="13">
        <f t="shared" si="1"/>
        <v>0</v>
      </c>
      <c r="T30" s="13" t="str">
        <f t="shared" si="2"/>
        <v>2</v>
      </c>
    </row>
    <row r="31" spans="1:20" x14ac:dyDescent="0.35">
      <c r="A31" s="2">
        <v>28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2">
        <f>SUM(C31:Q31)</f>
        <v>0</v>
      </c>
      <c r="S31" s="13">
        <f t="shared" si="1"/>
        <v>0</v>
      </c>
      <c r="T31" s="13" t="str">
        <f t="shared" si="2"/>
        <v>2</v>
      </c>
    </row>
    <row r="32" spans="1:20" x14ac:dyDescent="0.35">
      <c r="A32" s="2">
        <v>29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2">
        <f>SUM(C32:Q32)</f>
        <v>0</v>
      </c>
      <c r="S32" s="13">
        <f t="shared" si="1"/>
        <v>0</v>
      </c>
      <c r="T32" s="13" t="str">
        <f t="shared" si="2"/>
        <v>2</v>
      </c>
    </row>
    <row r="33" spans="1:20" x14ac:dyDescent="0.35">
      <c r="A33" s="2">
        <v>30</v>
      </c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2">
        <f>SUM(C33:Q33)</f>
        <v>0</v>
      </c>
      <c r="S33" s="13">
        <f t="shared" si="1"/>
        <v>0</v>
      </c>
      <c r="T33" s="13" t="str">
        <f t="shared" si="2"/>
        <v>2</v>
      </c>
    </row>
    <row r="34" spans="1:20" x14ac:dyDescent="0.35">
      <c r="A34" s="2">
        <v>31</v>
      </c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2">
        <f>SUM(C34:Q34)</f>
        <v>0</v>
      </c>
      <c r="S34" s="13">
        <f t="shared" si="1"/>
        <v>0</v>
      </c>
      <c r="T34" s="13" t="str">
        <f t="shared" si="2"/>
        <v>2</v>
      </c>
    </row>
    <row r="35" spans="1:20" x14ac:dyDescent="0.35">
      <c r="A35" s="2">
        <v>32</v>
      </c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2">
        <f>SUM(C35:Q35)</f>
        <v>0</v>
      </c>
      <c r="S35" s="13">
        <f t="shared" si="1"/>
        <v>0</v>
      </c>
      <c r="T35" s="13" t="str">
        <f t="shared" si="2"/>
        <v>2</v>
      </c>
    </row>
    <row r="36" spans="1:20" x14ac:dyDescent="0.35">
      <c r="A36" s="2">
        <v>33</v>
      </c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2">
        <f>SUM(C36:Q36)</f>
        <v>0</v>
      </c>
      <c r="S36" s="13">
        <f t="shared" si="1"/>
        <v>0</v>
      </c>
      <c r="T36" s="13" t="str">
        <f t="shared" si="2"/>
        <v>2</v>
      </c>
    </row>
    <row r="37" spans="1:20" x14ac:dyDescent="0.35">
      <c r="A37" s="2">
        <v>34</v>
      </c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2">
        <f>SUM(C37:Q37)</f>
        <v>0</v>
      </c>
      <c r="S37" s="13">
        <f t="shared" si="1"/>
        <v>0</v>
      </c>
      <c r="T37" s="13" t="str">
        <f t="shared" si="2"/>
        <v>2</v>
      </c>
    </row>
    <row r="38" spans="1:20" x14ac:dyDescent="0.35">
      <c r="A38" s="2">
        <v>35</v>
      </c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2">
        <f>SUM(C38:Q38)</f>
        <v>0</v>
      </c>
      <c r="S38" s="13">
        <f t="shared" si="1"/>
        <v>0</v>
      </c>
      <c r="T38" s="13" t="str">
        <f t="shared" si="2"/>
        <v>2</v>
      </c>
    </row>
    <row r="39" spans="1:20" x14ac:dyDescent="0.35">
      <c r="A39" s="2">
        <v>36</v>
      </c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2">
        <f>SUM(C39:Q39)</f>
        <v>0</v>
      </c>
      <c r="S39" s="13">
        <f t="shared" si="1"/>
        <v>0</v>
      </c>
      <c r="T39" s="13" t="str">
        <f t="shared" si="2"/>
        <v>2</v>
      </c>
    </row>
    <row r="40" spans="1:20" x14ac:dyDescent="0.35">
      <c r="A40" s="2"/>
      <c r="B40" s="2" t="s">
        <v>4</v>
      </c>
      <c r="C40" s="19" t="e">
        <f>SUBTOTAL(1,C4:C39)</f>
        <v>#DIV/0!</v>
      </c>
      <c r="D40" s="19" t="e">
        <f t="shared" ref="D40:Q40" si="3">SUBTOTAL(1,D4:D39)</f>
        <v>#DIV/0!</v>
      </c>
      <c r="E40" s="19" t="e">
        <f t="shared" si="3"/>
        <v>#DIV/0!</v>
      </c>
      <c r="F40" s="19" t="e">
        <f t="shared" si="3"/>
        <v>#DIV/0!</v>
      </c>
      <c r="G40" s="19" t="e">
        <f t="shared" si="3"/>
        <v>#DIV/0!</v>
      </c>
      <c r="H40" s="19" t="e">
        <f t="shared" si="3"/>
        <v>#DIV/0!</v>
      </c>
      <c r="I40" s="19" t="e">
        <f t="shared" si="3"/>
        <v>#DIV/0!</v>
      </c>
      <c r="J40" s="19" t="e">
        <f t="shared" si="3"/>
        <v>#DIV/0!</v>
      </c>
      <c r="K40" s="19" t="e">
        <f t="shared" si="3"/>
        <v>#DIV/0!</v>
      </c>
      <c r="L40" s="19" t="e">
        <f t="shared" si="3"/>
        <v>#DIV/0!</v>
      </c>
      <c r="M40" s="19" t="e">
        <f t="shared" si="3"/>
        <v>#DIV/0!</v>
      </c>
      <c r="N40" s="19" t="e">
        <f t="shared" si="3"/>
        <v>#DIV/0!</v>
      </c>
      <c r="O40" s="19" t="e">
        <f t="shared" si="3"/>
        <v>#DIV/0!</v>
      </c>
      <c r="P40" s="19" t="e">
        <f t="shared" si="3"/>
        <v>#DIV/0!</v>
      </c>
      <c r="Q40" s="19" t="e">
        <f t="shared" si="3"/>
        <v>#DIV/0!</v>
      </c>
      <c r="R40" s="19">
        <f>IFERROR(SUBTOTAL(101,R4:R39),"")</f>
        <v>0</v>
      </c>
      <c r="S40" s="20">
        <f>IFERROR(SUBTOTAL(101,S4:S39),"")</f>
        <v>0</v>
      </c>
      <c r="T40" s="2"/>
    </row>
    <row r="41" spans="1:20" x14ac:dyDescent="0.35">
      <c r="T41" s="21">
        <f>T44+T45+T46+T47</f>
        <v>36</v>
      </c>
    </row>
    <row r="42" spans="1:20" x14ac:dyDescent="0.35">
      <c r="A42" s="22" t="str">
        <f>CONCATENATE("O'IBDO':_________", X6)</f>
        <v>O'IBDO':_________O. Sultanov</v>
      </c>
      <c r="B42" s="22"/>
      <c r="R42" s="23" t="s">
        <v>19</v>
      </c>
      <c r="S42" s="24"/>
      <c r="T42" s="11">
        <f>100*(T44+T45+T46)/T41</f>
        <v>0</v>
      </c>
    </row>
    <row r="43" spans="1:20" ht="18.649999999999999" customHeight="1" x14ac:dyDescent="0.35">
      <c r="A43" s="22" t="str">
        <f>CONCATENATE("Metod  birlashma rahbari: _________ ", X7)</f>
        <v>Metod  birlashma rahbari: _________ S. Seyitova</v>
      </c>
      <c r="B43" s="22"/>
      <c r="R43" s="23" t="s">
        <v>20</v>
      </c>
      <c r="S43" s="24"/>
      <c r="T43" s="11">
        <f>100*(T44+T45)/T41</f>
        <v>0</v>
      </c>
    </row>
    <row r="44" spans="1:20" x14ac:dyDescent="0.35">
      <c r="A44" s="22" t="str">
        <f>CONCATENATE("Fan o'qituvchi:_________ ", X7)</f>
        <v>Fan o'qituvchi:_________ S. Seyitova</v>
      </c>
      <c r="B44" s="22"/>
      <c r="R44" s="11"/>
      <c r="S44" s="11">
        <v>5</v>
      </c>
      <c r="T44" s="11">
        <f>COUNTIF(T$4:T$40,5)</f>
        <v>0</v>
      </c>
    </row>
    <row r="45" spans="1:20" x14ac:dyDescent="0.35">
      <c r="R45" s="11"/>
      <c r="S45" s="11">
        <v>4</v>
      </c>
      <c r="T45" s="11">
        <f>COUNTIF(T$4:T$40,4)</f>
        <v>0</v>
      </c>
    </row>
    <row r="46" spans="1:20" x14ac:dyDescent="0.35">
      <c r="R46" s="11"/>
      <c r="S46" s="11">
        <v>3</v>
      </c>
      <c r="T46" s="11">
        <f>COUNTIF(T$4:T$40,3)</f>
        <v>0</v>
      </c>
    </row>
    <row r="47" spans="1:20" x14ac:dyDescent="0.35">
      <c r="R47" s="11"/>
      <c r="S47" s="11">
        <v>2</v>
      </c>
      <c r="T47" s="11">
        <f>COUNTIF(T$4:T$40,2)</f>
        <v>36</v>
      </c>
    </row>
  </sheetData>
  <mergeCells count="10">
    <mergeCell ref="A43:B43"/>
    <mergeCell ref="A44:B44"/>
    <mergeCell ref="A1:T1"/>
    <mergeCell ref="A2:A3"/>
    <mergeCell ref="B2:B3"/>
    <mergeCell ref="S2:S3"/>
    <mergeCell ref="T2:T3"/>
    <mergeCell ref="A42:B42"/>
    <mergeCell ref="R42:S42"/>
    <mergeCell ref="R43:S4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2026-01-29T05:28:08Z</dcterms:created>
  <dcterms:modified xsi:type="dcterms:W3CDTF">2026-05-16T10:15:10Z</dcterms:modified>
</cp:coreProperties>
</file>