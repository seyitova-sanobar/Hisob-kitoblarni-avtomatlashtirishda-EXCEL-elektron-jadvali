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00" yWindow="150" windowWidth="8580" windowHeight="6890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H3" i="1" l="1"/>
  <c r="H4" i="1" l="1"/>
  <c r="C40" i="1"/>
  <c r="H39" i="1" l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A43" i="1" l="1"/>
  <c r="A44" i="1"/>
  <c r="A42" i="1"/>
  <c r="H40" i="1"/>
  <c r="G40" i="1"/>
  <c r="F40" i="1"/>
  <c r="E40" i="1"/>
  <c r="D40" i="1"/>
  <c r="A1" i="1"/>
  <c r="I4" i="1"/>
  <c r="J4" i="1" s="1"/>
  <c r="G3" i="1"/>
  <c r="F3" i="1"/>
  <c r="E3" i="1"/>
  <c r="D3" i="1"/>
  <c r="C3" i="1"/>
  <c r="I20" i="1" l="1"/>
  <c r="J20" i="1" s="1"/>
  <c r="I12" i="1"/>
  <c r="J12" i="1" s="1"/>
  <c r="I38" i="1"/>
  <c r="J38" i="1" s="1"/>
  <c r="I30" i="1"/>
  <c r="J30" i="1" s="1"/>
  <c r="I23" i="1"/>
  <c r="J23" i="1" s="1"/>
  <c r="I15" i="1"/>
  <c r="J15" i="1" s="1"/>
  <c r="I7" i="1"/>
  <c r="J7" i="1" s="1"/>
  <c r="I33" i="1"/>
  <c r="J33" i="1" s="1"/>
  <c r="I25" i="1"/>
  <c r="J25" i="1" s="1"/>
  <c r="I18" i="1"/>
  <c r="J18" i="1" s="1"/>
  <c r="I10" i="1"/>
  <c r="J10" i="1" s="1"/>
  <c r="I36" i="1"/>
  <c r="J36" i="1" s="1"/>
  <c r="I28" i="1"/>
  <c r="J28" i="1" s="1"/>
  <c r="I17" i="1"/>
  <c r="J17" i="1" s="1"/>
  <c r="I9" i="1"/>
  <c r="J9" i="1" s="1"/>
  <c r="I35" i="1"/>
  <c r="J35" i="1" s="1"/>
  <c r="I27" i="1"/>
  <c r="J27" i="1" s="1"/>
  <c r="I16" i="1"/>
  <c r="J16" i="1" s="1"/>
  <c r="I8" i="1"/>
  <c r="J8" i="1" s="1"/>
  <c r="I34" i="1"/>
  <c r="J34" i="1" s="1"/>
  <c r="I26" i="1"/>
  <c r="J26" i="1" s="1"/>
  <c r="I19" i="1"/>
  <c r="J19" i="1" s="1"/>
  <c r="I11" i="1"/>
  <c r="J11" i="1" s="1"/>
  <c r="I37" i="1"/>
  <c r="J37" i="1" s="1"/>
  <c r="I29" i="1"/>
  <c r="J29" i="1" s="1"/>
  <c r="I22" i="1"/>
  <c r="J22" i="1" s="1"/>
  <c r="I14" i="1"/>
  <c r="J14" i="1" s="1"/>
  <c r="I6" i="1"/>
  <c r="J6" i="1" s="1"/>
  <c r="I32" i="1"/>
  <c r="J32" i="1" s="1"/>
  <c r="I21" i="1"/>
  <c r="J21" i="1" s="1"/>
  <c r="I13" i="1"/>
  <c r="J13" i="1" s="1"/>
  <c r="I5" i="1"/>
  <c r="J5" i="1" s="1"/>
  <c r="I39" i="1"/>
  <c r="J39" i="1" s="1"/>
  <c r="I31" i="1"/>
  <c r="J31" i="1" s="1"/>
  <c r="I24" i="1"/>
  <c r="J24" i="1" s="1"/>
  <c r="J47" i="1" l="1"/>
  <c r="J45" i="1"/>
  <c r="J46" i="1"/>
  <c r="I40" i="1"/>
  <c r="J44" i="1"/>
  <c r="J41" i="1" l="1"/>
  <c r="J43" i="1" s="1"/>
  <c r="J42" i="1" l="1"/>
</calcChain>
</file>

<file path=xl/sharedStrings.xml><?xml version="1.0" encoding="utf-8"?>
<sst xmlns="http://schemas.openxmlformats.org/spreadsheetml/2006/main" count="23" uniqueCount="22">
  <si>
    <t>O'quvchilarning ismi-sharifi</t>
  </si>
  <si>
    <t>Jami ball</t>
  </si>
  <si>
    <t>Bahosi</t>
  </si>
  <si>
    <t>Foiz</t>
  </si>
  <si>
    <t>O'rtacha ball</t>
  </si>
  <si>
    <t>Metod  birlashma rahbari</t>
  </si>
  <si>
    <t>O'IBDO':</t>
  </si>
  <si>
    <t>Sinf</t>
  </si>
  <si>
    <t>Fan</t>
  </si>
  <si>
    <t>Chorak</t>
  </si>
  <si>
    <t>CHSB tartibi</t>
  </si>
  <si>
    <t>Fan o'qituvchi</t>
  </si>
  <si>
    <t>Topshiriqlar soni</t>
  </si>
  <si>
    <t>Maksimal ball</t>
  </si>
  <si>
    <t>IX</t>
  </si>
  <si>
    <t>Informatika va AT</t>
  </si>
  <si>
    <t>II</t>
  </si>
  <si>
    <t>O. Sultanov</t>
  </si>
  <si>
    <t>S. Seyitova</t>
  </si>
  <si>
    <t>O'zlashtirish:</t>
  </si>
  <si>
    <t>Samaradorlik: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</si>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</sst>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9" fontId="6" fillId="2" borderId="1" xfId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9" fontId="9" fillId="2" borderId="1" xfId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Лист1!$H$4:$H$39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344256"/>
        <c:axId val="152756608"/>
      </c:barChart>
      <c:catAx>
        <c:axId val="47344256"/>
        <c:scaling>
          <c:orientation val="minMax"/>
        </c:scaling>
        <c:delete val="0"/>
        <c:axPos val="b"/>
        <c:majorTickMark val="out"/>
        <c:minorTickMark val="none"/>
        <c:tickLblPos val="nextTo"/>
        <c:crossAx val="152756608"/>
        <c:crosses val="autoZero"/>
        <c:auto val="1"/>
        <c:lblAlgn val="ctr"/>
        <c:lblOffset val="100"/>
        <c:noMultiLvlLbl val="0"/>
      </c:catAx>
      <c:valAx>
        <c:axId val="152756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7344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17318</xdr:colOff>
      <xdr:row>44</xdr:row>
      <xdr:rowOff>190500</xdr:rowOff>
    </xdr:from>
    <xdr:to>
      <xdr:col>7</xdr:col>
      <xdr:colOff>0</xdr:colOff>
      <xdr:row>57</xdr:row>
      <xdr:rowOff>121228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Views>
    <sheetView tabSelected="1" zoomScaleNormal="100" workbookViewId="0">
      <selection activeCell="M13" sqref="M12:M13"/>
    </sheetView>
  </sheetViews>
  <sheetFormatPr defaultColWidth="8.81640625" defaultRowHeight="15.5" x14ac:dyDescent="0.35"/>
  <cols>
    <col min="1" max="1" width="8.81640625" style="1"/>
    <col min="2" max="2" width="32.7265625" style="1" customWidth="1"/>
    <col min="3" max="7" width="4.26953125" style="1" customWidth="1"/>
    <col min="8" max="8" width="8.81640625" style="1"/>
    <col min="9" max="9" width="10.54296875" style="1" bestFit="1" customWidth="1"/>
    <col min="10" max="12" width="8.81640625" style="1"/>
    <col min="13" max="13" width="34.7265625" style="1" customWidth="1"/>
    <col min="14" max="14" width="21.453125" style="1" customWidth="1"/>
    <col min="15" max="15" width="6.1796875" style="1" customWidth="1"/>
    <col min="16" max="19" width="6" style="1" customWidth="1"/>
    <col min="20" max="16384" width="8.81640625" style="1"/>
  </cols>
  <sheetData>
    <row r="1" spans="1:19" ht="28.9" customHeight="1" x14ac:dyDescent="0.35">
      <c r="A1" s="5" t="str">
        <f>CONCATENATE("Amudaryo tumani 22-sonli umumiy o'rta ta'lim maktabi ",N2,"-sinf o'quvchilarining ", N3,"  fanidan o'tkazilgan ", N4,"-chorak  ", N5,"- CHSB  tahlili")</f>
        <v>Amudaryo tumani 22-sonli umumiy o'rta ta'lim maktabi IX-sinf o'quvchilarining Informatika va AT  fanidan o'tkazilgan II-chorak  2- CHSB  tahlili</v>
      </c>
      <c r="B1" s="5"/>
      <c r="C1" s="5"/>
      <c r="D1" s="5"/>
      <c r="E1" s="5"/>
      <c r="F1" s="5"/>
      <c r="G1" s="5"/>
      <c r="H1" s="5"/>
      <c r="I1" s="5"/>
      <c r="J1" s="5"/>
    </row>
    <row r="2" spans="1:19" x14ac:dyDescent="0.35">
      <c r="A2" s="6" t="s">
        <v>21</v>
      </c>
      <c r="B2" s="6" t="s">
        <v>0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 t="s">
        <v>1</v>
      </c>
      <c r="I2" s="6" t="s">
        <v>3</v>
      </c>
      <c r="J2" s="6" t="s">
        <v>2</v>
      </c>
      <c r="M2" s="8" t="s">
        <v>7</v>
      </c>
      <c r="N2" s="9" t="s">
        <v>14</v>
      </c>
    </row>
    <row r="3" spans="1:19" x14ac:dyDescent="0.35">
      <c r="A3" s="7"/>
      <c r="B3" s="7"/>
      <c r="C3" s="2">
        <f>O10</f>
        <v>4</v>
      </c>
      <c r="D3" s="2">
        <f>P10</f>
        <v>5</v>
      </c>
      <c r="E3" s="2">
        <f>Q10</f>
        <v>5</v>
      </c>
      <c r="F3" s="2">
        <f>R10</f>
        <v>4</v>
      </c>
      <c r="G3" s="2">
        <f>S10</f>
        <v>7</v>
      </c>
      <c r="H3" s="2">
        <f>SUM(C3:G3)</f>
        <v>25</v>
      </c>
      <c r="I3" s="7"/>
      <c r="J3" s="7"/>
      <c r="M3" s="8" t="s">
        <v>8</v>
      </c>
      <c r="N3" s="9" t="s">
        <v>15</v>
      </c>
    </row>
    <row r="4" spans="1:19" x14ac:dyDescent="0.35">
      <c r="A4" s="2">
        <v>1</v>
      </c>
      <c r="B4" s="10"/>
      <c r="C4" s="11"/>
      <c r="D4" s="11"/>
      <c r="E4" s="11"/>
      <c r="F4" s="11"/>
      <c r="G4" s="11"/>
      <c r="H4" s="12">
        <f>SUM(C4:G4)</f>
        <v>0</v>
      </c>
      <c r="I4" s="13">
        <f>H4/H$3</f>
        <v>0</v>
      </c>
      <c r="J4" s="13" t="str">
        <f>IF(I4&gt;=86%,"5",IF(I4&gt;=66%,"4",IF(I4&gt;=30%,"3","2")))</f>
        <v>2</v>
      </c>
      <c r="M4" s="8" t="s">
        <v>9</v>
      </c>
      <c r="N4" s="9" t="s">
        <v>16</v>
      </c>
    </row>
    <row r="5" spans="1:19" x14ac:dyDescent="0.35">
      <c r="A5" s="2">
        <v>2</v>
      </c>
      <c r="B5" s="14"/>
      <c r="C5" s="11"/>
      <c r="D5" s="11"/>
      <c r="E5" s="11"/>
      <c r="F5" s="11"/>
      <c r="G5" s="11"/>
      <c r="H5" s="12">
        <f>SUM(C5:G5)</f>
        <v>0</v>
      </c>
      <c r="I5" s="13">
        <f t="shared" ref="I5:I39" si="0">H5/H$3</f>
        <v>0</v>
      </c>
      <c r="J5" s="13" t="str">
        <f t="shared" ref="J5:J39" si="1">IF(I5&gt;=86%,"5",IF(I5&gt;=66%,"4",IF(I5&gt;=30%,"3","2")))</f>
        <v>2</v>
      </c>
      <c r="M5" s="8" t="s">
        <v>10</v>
      </c>
      <c r="N5" s="9">
        <v>2</v>
      </c>
    </row>
    <row r="6" spans="1:19" x14ac:dyDescent="0.35">
      <c r="A6" s="2">
        <v>3</v>
      </c>
      <c r="B6" s="15"/>
      <c r="C6" s="11"/>
      <c r="D6" s="11"/>
      <c r="E6" s="11"/>
      <c r="F6" s="11"/>
      <c r="G6" s="11"/>
      <c r="H6" s="12">
        <f>SUM(C6:G6)</f>
        <v>0</v>
      </c>
      <c r="I6" s="13">
        <f t="shared" si="0"/>
        <v>0</v>
      </c>
      <c r="J6" s="13" t="str">
        <f t="shared" si="1"/>
        <v>2</v>
      </c>
      <c r="M6" s="8" t="s">
        <v>6</v>
      </c>
      <c r="N6" s="9" t="s">
        <v>17</v>
      </c>
    </row>
    <row r="7" spans="1:19" x14ac:dyDescent="0.35">
      <c r="A7" s="2">
        <v>4</v>
      </c>
      <c r="B7" s="15"/>
      <c r="C7" s="11"/>
      <c r="D7" s="11"/>
      <c r="E7" s="11"/>
      <c r="F7" s="11"/>
      <c r="G7" s="11"/>
      <c r="H7" s="12">
        <f>SUM(C7:G7)</f>
        <v>0</v>
      </c>
      <c r="I7" s="13">
        <f t="shared" si="0"/>
        <v>0</v>
      </c>
      <c r="J7" s="13" t="str">
        <f t="shared" si="1"/>
        <v>2</v>
      </c>
      <c r="M7" s="8" t="s">
        <v>5</v>
      </c>
      <c r="N7" s="9" t="s">
        <v>18</v>
      </c>
    </row>
    <row r="8" spans="1:19" x14ac:dyDescent="0.35">
      <c r="A8" s="2">
        <v>5</v>
      </c>
      <c r="B8" s="16"/>
      <c r="C8" s="11"/>
      <c r="D8" s="11"/>
      <c r="E8" s="11"/>
      <c r="F8" s="11"/>
      <c r="G8" s="11"/>
      <c r="H8" s="12">
        <f>SUM(C8:G8)</f>
        <v>0</v>
      </c>
      <c r="I8" s="13">
        <f t="shared" si="0"/>
        <v>0</v>
      </c>
      <c r="J8" s="13" t="str">
        <f t="shared" si="1"/>
        <v>2</v>
      </c>
      <c r="M8" s="8" t="s">
        <v>11</v>
      </c>
      <c r="N8" s="9" t="s">
        <v>18</v>
      </c>
    </row>
    <row r="9" spans="1:19" x14ac:dyDescent="0.35">
      <c r="A9" s="2">
        <v>6</v>
      </c>
      <c r="B9" s="15"/>
      <c r="C9" s="11"/>
      <c r="D9" s="11"/>
      <c r="E9" s="11"/>
      <c r="F9" s="11"/>
      <c r="G9" s="11"/>
      <c r="H9" s="12">
        <f>SUM(C9:G9)</f>
        <v>0</v>
      </c>
      <c r="I9" s="13">
        <f t="shared" si="0"/>
        <v>0</v>
      </c>
      <c r="J9" s="13" t="str">
        <f t="shared" si="1"/>
        <v>2</v>
      </c>
      <c r="M9" s="17" t="s">
        <v>12</v>
      </c>
      <c r="N9" s="18">
        <v>5</v>
      </c>
      <c r="O9" s="2">
        <v>1</v>
      </c>
      <c r="P9" s="2">
        <v>2</v>
      </c>
      <c r="Q9" s="2">
        <v>3</v>
      </c>
      <c r="R9" s="2">
        <v>4</v>
      </c>
      <c r="S9" s="2">
        <v>5</v>
      </c>
    </row>
    <row r="10" spans="1:19" x14ac:dyDescent="0.35">
      <c r="A10" s="2">
        <v>7</v>
      </c>
      <c r="B10" s="15"/>
      <c r="C10" s="11"/>
      <c r="D10" s="11"/>
      <c r="E10" s="11"/>
      <c r="F10" s="11"/>
      <c r="G10" s="11"/>
      <c r="H10" s="12">
        <f>SUM(C10:G10)</f>
        <v>0</v>
      </c>
      <c r="I10" s="13">
        <f t="shared" si="0"/>
        <v>0</v>
      </c>
      <c r="J10" s="13" t="str">
        <f t="shared" si="1"/>
        <v>2</v>
      </c>
      <c r="M10" s="17" t="s">
        <v>13</v>
      </c>
      <c r="N10" s="18">
        <v>25</v>
      </c>
      <c r="O10" s="11">
        <v>4</v>
      </c>
      <c r="P10" s="11">
        <v>5</v>
      </c>
      <c r="Q10" s="11">
        <v>5</v>
      </c>
      <c r="R10" s="11">
        <v>4</v>
      </c>
      <c r="S10" s="11">
        <v>7</v>
      </c>
    </row>
    <row r="11" spans="1:19" x14ac:dyDescent="0.35">
      <c r="A11" s="2">
        <v>8</v>
      </c>
      <c r="B11" s="15"/>
      <c r="C11" s="11"/>
      <c r="D11" s="11"/>
      <c r="E11" s="11"/>
      <c r="F11" s="11"/>
      <c r="G11" s="11"/>
      <c r="H11" s="12">
        <f>SUM(C11:G11)</f>
        <v>0</v>
      </c>
      <c r="I11" s="13">
        <f t="shared" si="0"/>
        <v>0</v>
      </c>
      <c r="J11" s="13" t="str">
        <f t="shared" si="1"/>
        <v>2</v>
      </c>
    </row>
    <row r="12" spans="1:19" x14ac:dyDescent="0.35">
      <c r="A12" s="2">
        <v>9</v>
      </c>
      <c r="B12" s="15"/>
      <c r="C12" s="11"/>
      <c r="D12" s="11"/>
      <c r="E12" s="11"/>
      <c r="F12" s="11"/>
      <c r="G12" s="11"/>
      <c r="H12" s="12">
        <f>SUM(C12:G12)</f>
        <v>0</v>
      </c>
      <c r="I12" s="13">
        <f t="shared" si="0"/>
        <v>0</v>
      </c>
      <c r="J12" s="13" t="str">
        <f t="shared" si="1"/>
        <v>2</v>
      </c>
    </row>
    <row r="13" spans="1:19" x14ac:dyDescent="0.35">
      <c r="A13" s="2">
        <v>10</v>
      </c>
      <c r="B13" s="16"/>
      <c r="C13" s="11"/>
      <c r="D13" s="11"/>
      <c r="E13" s="11"/>
      <c r="F13" s="11"/>
      <c r="G13" s="11"/>
      <c r="H13" s="12">
        <f>SUM(C13:G13)</f>
        <v>0</v>
      </c>
      <c r="I13" s="13">
        <f t="shared" si="0"/>
        <v>0</v>
      </c>
      <c r="J13" s="13" t="str">
        <f t="shared" si="1"/>
        <v>2</v>
      </c>
    </row>
    <row r="14" spans="1:19" x14ac:dyDescent="0.35">
      <c r="A14" s="2">
        <v>11</v>
      </c>
      <c r="B14" s="15"/>
      <c r="C14" s="11"/>
      <c r="D14" s="11"/>
      <c r="E14" s="11"/>
      <c r="F14" s="11"/>
      <c r="G14" s="11"/>
      <c r="H14" s="12">
        <f>SUM(C14:G14)</f>
        <v>0</v>
      </c>
      <c r="I14" s="13">
        <f t="shared" si="0"/>
        <v>0</v>
      </c>
      <c r="J14" s="13" t="str">
        <f t="shared" si="1"/>
        <v>2</v>
      </c>
    </row>
    <row r="15" spans="1:19" x14ac:dyDescent="0.35">
      <c r="A15" s="2">
        <v>12</v>
      </c>
      <c r="B15" s="15"/>
      <c r="C15" s="11"/>
      <c r="D15" s="11"/>
      <c r="E15" s="11"/>
      <c r="F15" s="11"/>
      <c r="G15" s="11"/>
      <c r="H15" s="12">
        <f>SUM(C15:G15)</f>
        <v>0</v>
      </c>
      <c r="I15" s="13">
        <f t="shared" si="0"/>
        <v>0</v>
      </c>
      <c r="J15" s="13" t="str">
        <f t="shared" si="1"/>
        <v>2</v>
      </c>
    </row>
    <row r="16" spans="1:19" x14ac:dyDescent="0.35">
      <c r="A16" s="2">
        <v>13</v>
      </c>
      <c r="B16" s="15"/>
      <c r="C16" s="11"/>
      <c r="D16" s="11"/>
      <c r="E16" s="11"/>
      <c r="F16" s="11"/>
      <c r="G16" s="11"/>
      <c r="H16" s="12">
        <f>SUM(C16:G16)</f>
        <v>0</v>
      </c>
      <c r="I16" s="13">
        <f t="shared" si="0"/>
        <v>0</v>
      </c>
      <c r="J16" s="13" t="str">
        <f t="shared" si="1"/>
        <v>2</v>
      </c>
    </row>
    <row r="17" spans="1:10" x14ac:dyDescent="0.35">
      <c r="A17" s="2">
        <v>14</v>
      </c>
      <c r="B17" s="15"/>
      <c r="C17" s="11"/>
      <c r="D17" s="11"/>
      <c r="E17" s="11"/>
      <c r="F17" s="11"/>
      <c r="G17" s="11"/>
      <c r="H17" s="12">
        <f>SUM(C17:G17)</f>
        <v>0</v>
      </c>
      <c r="I17" s="13">
        <f t="shared" si="0"/>
        <v>0</v>
      </c>
      <c r="J17" s="13" t="str">
        <f t="shared" si="1"/>
        <v>2</v>
      </c>
    </row>
    <row r="18" spans="1:10" x14ac:dyDescent="0.35">
      <c r="A18" s="2">
        <v>15</v>
      </c>
      <c r="B18" s="16"/>
      <c r="C18" s="11"/>
      <c r="D18" s="11"/>
      <c r="E18" s="11"/>
      <c r="F18" s="11"/>
      <c r="G18" s="11"/>
      <c r="H18" s="12">
        <f>SUM(C18:G18)</f>
        <v>0</v>
      </c>
      <c r="I18" s="13">
        <f t="shared" si="0"/>
        <v>0</v>
      </c>
      <c r="J18" s="13" t="str">
        <f t="shared" si="1"/>
        <v>2</v>
      </c>
    </row>
    <row r="19" spans="1:10" x14ac:dyDescent="0.35">
      <c r="A19" s="2">
        <v>16</v>
      </c>
      <c r="B19" s="15"/>
      <c r="C19" s="11"/>
      <c r="D19" s="11"/>
      <c r="E19" s="11"/>
      <c r="F19" s="11"/>
      <c r="G19" s="11"/>
      <c r="H19" s="12">
        <f>SUM(C19:G19)</f>
        <v>0</v>
      </c>
      <c r="I19" s="13">
        <f t="shared" si="0"/>
        <v>0</v>
      </c>
      <c r="J19" s="13" t="str">
        <f t="shared" si="1"/>
        <v>2</v>
      </c>
    </row>
    <row r="20" spans="1:10" x14ac:dyDescent="0.35">
      <c r="A20" s="2">
        <v>17</v>
      </c>
      <c r="B20" s="3"/>
      <c r="C20" s="2"/>
      <c r="D20" s="2"/>
      <c r="E20" s="2"/>
      <c r="F20" s="2"/>
      <c r="G20" s="2"/>
      <c r="H20" s="12">
        <f>SUM(C20:G20)</f>
        <v>0</v>
      </c>
      <c r="I20" s="13">
        <f t="shared" si="0"/>
        <v>0</v>
      </c>
      <c r="J20" s="13" t="str">
        <f t="shared" si="1"/>
        <v>2</v>
      </c>
    </row>
    <row r="21" spans="1:10" x14ac:dyDescent="0.35">
      <c r="A21" s="2">
        <v>18</v>
      </c>
      <c r="B21" s="3"/>
      <c r="C21" s="2"/>
      <c r="D21" s="2"/>
      <c r="E21" s="2"/>
      <c r="F21" s="2"/>
      <c r="G21" s="2"/>
      <c r="H21" s="12">
        <f>SUM(C21:G21)</f>
        <v>0</v>
      </c>
      <c r="I21" s="13">
        <f t="shared" si="0"/>
        <v>0</v>
      </c>
      <c r="J21" s="13" t="str">
        <f t="shared" si="1"/>
        <v>2</v>
      </c>
    </row>
    <row r="22" spans="1:10" x14ac:dyDescent="0.35">
      <c r="A22" s="2">
        <v>19</v>
      </c>
      <c r="B22" s="3"/>
      <c r="C22" s="2"/>
      <c r="D22" s="2"/>
      <c r="E22" s="2"/>
      <c r="F22" s="2"/>
      <c r="G22" s="2"/>
      <c r="H22" s="12">
        <f>SUM(C22:G22)</f>
        <v>0</v>
      </c>
      <c r="I22" s="13">
        <f t="shared" si="0"/>
        <v>0</v>
      </c>
      <c r="J22" s="13" t="str">
        <f t="shared" si="1"/>
        <v>2</v>
      </c>
    </row>
    <row r="23" spans="1:10" x14ac:dyDescent="0.35">
      <c r="A23" s="2">
        <v>20</v>
      </c>
      <c r="B23" s="3"/>
      <c r="C23" s="2"/>
      <c r="D23" s="2"/>
      <c r="E23" s="2"/>
      <c r="F23" s="2"/>
      <c r="G23" s="2"/>
      <c r="H23" s="12">
        <f>SUM(C23:G23)</f>
        <v>0</v>
      </c>
      <c r="I23" s="13">
        <f t="shared" si="0"/>
        <v>0</v>
      </c>
      <c r="J23" s="13" t="str">
        <f t="shared" si="1"/>
        <v>2</v>
      </c>
    </row>
    <row r="24" spans="1:10" x14ac:dyDescent="0.35">
      <c r="A24" s="2">
        <v>21</v>
      </c>
      <c r="B24" s="3"/>
      <c r="C24" s="2"/>
      <c r="D24" s="2"/>
      <c r="E24" s="2"/>
      <c r="F24" s="2"/>
      <c r="G24" s="2"/>
      <c r="H24" s="12">
        <f>SUM(C24:G24)</f>
        <v>0</v>
      </c>
      <c r="I24" s="13">
        <f t="shared" si="0"/>
        <v>0</v>
      </c>
      <c r="J24" s="13" t="str">
        <f t="shared" si="1"/>
        <v>2</v>
      </c>
    </row>
    <row r="25" spans="1:10" x14ac:dyDescent="0.35">
      <c r="A25" s="2">
        <v>22</v>
      </c>
      <c r="B25" s="3"/>
      <c r="C25" s="2"/>
      <c r="D25" s="2"/>
      <c r="E25" s="2"/>
      <c r="F25" s="2"/>
      <c r="G25" s="2"/>
      <c r="H25" s="12">
        <f>SUM(C25:G25)</f>
        <v>0</v>
      </c>
      <c r="I25" s="13">
        <f t="shared" si="0"/>
        <v>0</v>
      </c>
      <c r="J25" s="13" t="str">
        <f t="shared" si="1"/>
        <v>2</v>
      </c>
    </row>
    <row r="26" spans="1:10" x14ac:dyDescent="0.35">
      <c r="A26" s="2">
        <v>23</v>
      </c>
      <c r="B26" s="3"/>
      <c r="C26" s="2"/>
      <c r="D26" s="2"/>
      <c r="E26" s="2"/>
      <c r="F26" s="2"/>
      <c r="G26" s="2"/>
      <c r="H26" s="12">
        <f>SUM(C26:G26)</f>
        <v>0</v>
      </c>
      <c r="I26" s="13">
        <f t="shared" si="0"/>
        <v>0</v>
      </c>
      <c r="J26" s="13" t="str">
        <f t="shared" si="1"/>
        <v>2</v>
      </c>
    </row>
    <row r="27" spans="1:10" x14ac:dyDescent="0.35">
      <c r="A27" s="2">
        <v>24</v>
      </c>
      <c r="B27" s="3"/>
      <c r="C27" s="2"/>
      <c r="D27" s="2"/>
      <c r="E27" s="2"/>
      <c r="F27" s="2"/>
      <c r="G27" s="2"/>
      <c r="H27" s="12">
        <f>SUM(C27:G27)</f>
        <v>0</v>
      </c>
      <c r="I27" s="13">
        <f t="shared" si="0"/>
        <v>0</v>
      </c>
      <c r="J27" s="13" t="str">
        <f t="shared" si="1"/>
        <v>2</v>
      </c>
    </row>
    <row r="28" spans="1:10" x14ac:dyDescent="0.35">
      <c r="A28" s="2">
        <v>25</v>
      </c>
      <c r="B28" s="3"/>
      <c r="C28" s="2"/>
      <c r="D28" s="2"/>
      <c r="E28" s="2"/>
      <c r="F28" s="2"/>
      <c r="G28" s="2"/>
      <c r="H28" s="12">
        <f>SUM(C28:G28)</f>
        <v>0</v>
      </c>
      <c r="I28" s="13">
        <f t="shared" si="0"/>
        <v>0</v>
      </c>
      <c r="J28" s="13" t="str">
        <f t="shared" si="1"/>
        <v>2</v>
      </c>
    </row>
    <row r="29" spans="1:10" x14ac:dyDescent="0.35">
      <c r="A29" s="2">
        <v>26</v>
      </c>
      <c r="B29" s="3"/>
      <c r="C29" s="2"/>
      <c r="D29" s="2"/>
      <c r="E29" s="2"/>
      <c r="F29" s="2"/>
      <c r="G29" s="2"/>
      <c r="H29" s="12">
        <f>SUM(C29:G29)</f>
        <v>0</v>
      </c>
      <c r="I29" s="13">
        <f t="shared" si="0"/>
        <v>0</v>
      </c>
      <c r="J29" s="13" t="str">
        <f t="shared" si="1"/>
        <v>2</v>
      </c>
    </row>
    <row r="30" spans="1:10" x14ac:dyDescent="0.35">
      <c r="A30" s="2">
        <v>27</v>
      </c>
      <c r="B30" s="3"/>
      <c r="C30" s="2"/>
      <c r="D30" s="2"/>
      <c r="E30" s="2"/>
      <c r="F30" s="2"/>
      <c r="G30" s="2"/>
      <c r="H30" s="12">
        <f>SUM(C30:G30)</f>
        <v>0</v>
      </c>
      <c r="I30" s="13">
        <f t="shared" si="0"/>
        <v>0</v>
      </c>
      <c r="J30" s="13" t="str">
        <f t="shared" si="1"/>
        <v>2</v>
      </c>
    </row>
    <row r="31" spans="1:10" x14ac:dyDescent="0.35">
      <c r="A31" s="2">
        <v>28</v>
      </c>
      <c r="B31" s="3"/>
      <c r="C31" s="2"/>
      <c r="D31" s="2"/>
      <c r="E31" s="2"/>
      <c r="F31" s="2"/>
      <c r="G31" s="2"/>
      <c r="H31" s="12">
        <f>SUM(C31:G31)</f>
        <v>0</v>
      </c>
      <c r="I31" s="13">
        <f t="shared" si="0"/>
        <v>0</v>
      </c>
      <c r="J31" s="13" t="str">
        <f t="shared" si="1"/>
        <v>2</v>
      </c>
    </row>
    <row r="32" spans="1:10" x14ac:dyDescent="0.35">
      <c r="A32" s="2">
        <v>29</v>
      </c>
      <c r="B32" s="3"/>
      <c r="C32" s="2"/>
      <c r="D32" s="2"/>
      <c r="E32" s="2"/>
      <c r="F32" s="2"/>
      <c r="G32" s="2"/>
      <c r="H32" s="12">
        <f>SUM(C32:G32)</f>
        <v>0</v>
      </c>
      <c r="I32" s="13">
        <f t="shared" si="0"/>
        <v>0</v>
      </c>
      <c r="J32" s="13" t="str">
        <f t="shared" si="1"/>
        <v>2</v>
      </c>
    </row>
    <row r="33" spans="1:10" x14ac:dyDescent="0.35">
      <c r="A33" s="2">
        <v>30</v>
      </c>
      <c r="B33" s="3"/>
      <c r="C33" s="2"/>
      <c r="D33" s="2"/>
      <c r="E33" s="2"/>
      <c r="F33" s="2"/>
      <c r="G33" s="2"/>
      <c r="H33" s="12">
        <f>SUM(C33:G33)</f>
        <v>0</v>
      </c>
      <c r="I33" s="13">
        <f t="shared" si="0"/>
        <v>0</v>
      </c>
      <c r="J33" s="13" t="str">
        <f t="shared" si="1"/>
        <v>2</v>
      </c>
    </row>
    <row r="34" spans="1:10" x14ac:dyDescent="0.35">
      <c r="A34" s="2">
        <v>31</v>
      </c>
      <c r="B34" s="3"/>
      <c r="C34" s="2"/>
      <c r="D34" s="2"/>
      <c r="E34" s="2"/>
      <c r="F34" s="2"/>
      <c r="G34" s="2"/>
      <c r="H34" s="12">
        <f>SUM(C34:G34)</f>
        <v>0</v>
      </c>
      <c r="I34" s="13">
        <f t="shared" si="0"/>
        <v>0</v>
      </c>
      <c r="J34" s="13" t="str">
        <f t="shared" si="1"/>
        <v>2</v>
      </c>
    </row>
    <row r="35" spans="1:10" x14ac:dyDescent="0.35">
      <c r="A35" s="2">
        <v>32</v>
      </c>
      <c r="B35" s="3"/>
      <c r="C35" s="2"/>
      <c r="D35" s="2"/>
      <c r="E35" s="2"/>
      <c r="F35" s="2"/>
      <c r="G35" s="2"/>
      <c r="H35" s="12">
        <f>SUM(C35:G35)</f>
        <v>0</v>
      </c>
      <c r="I35" s="13">
        <f t="shared" si="0"/>
        <v>0</v>
      </c>
      <c r="J35" s="13" t="str">
        <f t="shared" si="1"/>
        <v>2</v>
      </c>
    </row>
    <row r="36" spans="1:10" x14ac:dyDescent="0.35">
      <c r="A36" s="2">
        <v>33</v>
      </c>
      <c r="B36" s="3"/>
      <c r="C36" s="2"/>
      <c r="D36" s="2"/>
      <c r="E36" s="2"/>
      <c r="F36" s="2"/>
      <c r="G36" s="2"/>
      <c r="H36" s="12">
        <f>SUM(C36:G36)</f>
        <v>0</v>
      </c>
      <c r="I36" s="13">
        <f t="shared" si="0"/>
        <v>0</v>
      </c>
      <c r="J36" s="13" t="str">
        <f t="shared" si="1"/>
        <v>2</v>
      </c>
    </row>
    <row r="37" spans="1:10" x14ac:dyDescent="0.35">
      <c r="A37" s="2">
        <v>34</v>
      </c>
      <c r="B37" s="3"/>
      <c r="C37" s="2"/>
      <c r="D37" s="2"/>
      <c r="E37" s="2"/>
      <c r="F37" s="2"/>
      <c r="G37" s="2"/>
      <c r="H37" s="12">
        <f>SUM(C37:G37)</f>
        <v>0</v>
      </c>
      <c r="I37" s="13">
        <f t="shared" si="0"/>
        <v>0</v>
      </c>
      <c r="J37" s="13" t="str">
        <f t="shared" si="1"/>
        <v>2</v>
      </c>
    </row>
    <row r="38" spans="1:10" x14ac:dyDescent="0.35">
      <c r="A38" s="2">
        <v>35</v>
      </c>
      <c r="B38" s="3"/>
      <c r="C38" s="2"/>
      <c r="D38" s="2"/>
      <c r="E38" s="2"/>
      <c r="F38" s="2"/>
      <c r="G38" s="2"/>
      <c r="H38" s="12">
        <f>SUM(C38:G38)</f>
        <v>0</v>
      </c>
      <c r="I38" s="13">
        <f t="shared" si="0"/>
        <v>0</v>
      </c>
      <c r="J38" s="13" t="str">
        <f t="shared" si="1"/>
        <v>2</v>
      </c>
    </row>
    <row r="39" spans="1:10" x14ac:dyDescent="0.35">
      <c r="A39" s="2">
        <v>36</v>
      </c>
      <c r="B39" s="3"/>
      <c r="C39" s="2"/>
      <c r="D39" s="2"/>
      <c r="E39" s="2"/>
      <c r="F39" s="2"/>
      <c r="G39" s="2"/>
      <c r="H39" s="12">
        <f>SUM(C39:G39)</f>
        <v>0</v>
      </c>
      <c r="I39" s="13">
        <f t="shared" si="0"/>
        <v>0</v>
      </c>
      <c r="J39" s="13" t="str">
        <f t="shared" si="1"/>
        <v>2</v>
      </c>
    </row>
    <row r="40" spans="1:10" x14ac:dyDescent="0.35">
      <c r="A40" s="2"/>
      <c r="B40" s="2" t="s">
        <v>4</v>
      </c>
      <c r="C40" s="19" t="e">
        <f>SUBTOTAL(1,C4:C39)</f>
        <v>#DIV/0!</v>
      </c>
      <c r="D40" s="19" t="e">
        <f t="shared" ref="D40:G40" si="2">SUBTOTAL(1,D4:D39)</f>
        <v>#DIV/0!</v>
      </c>
      <c r="E40" s="19" t="e">
        <f t="shared" si="2"/>
        <v>#DIV/0!</v>
      </c>
      <c r="F40" s="19" t="e">
        <f t="shared" si="2"/>
        <v>#DIV/0!</v>
      </c>
      <c r="G40" s="19" t="e">
        <f t="shared" si="2"/>
        <v>#DIV/0!</v>
      </c>
      <c r="H40" s="19">
        <f>IFERROR(SUBTOTAL(101,H4:H39),"")</f>
        <v>0</v>
      </c>
      <c r="I40" s="20">
        <f>IFERROR(SUBTOTAL(101,I4:I39),"")</f>
        <v>0</v>
      </c>
      <c r="J40" s="2"/>
    </row>
    <row r="41" spans="1:10" x14ac:dyDescent="0.35">
      <c r="J41" s="21">
        <f>J44+J45+J46+J47</f>
        <v>36</v>
      </c>
    </row>
    <row r="42" spans="1:10" x14ac:dyDescent="0.35">
      <c r="A42" s="22" t="str">
        <f>CONCATENATE("O'IBDO':_________", N6)</f>
        <v>O'IBDO':_________O. Sultanov</v>
      </c>
      <c r="B42" s="22"/>
      <c r="H42" s="23" t="s">
        <v>19</v>
      </c>
      <c r="I42" s="24"/>
      <c r="J42" s="11">
        <f>100*(J44+J45+J46)/J41</f>
        <v>0</v>
      </c>
    </row>
    <row r="43" spans="1:10" ht="18.649999999999999" customHeight="1" x14ac:dyDescent="0.35">
      <c r="A43" s="22" t="str">
        <f>CONCATENATE("Metod  birlashma rahbari: _________ ", N7)</f>
        <v>Metod  birlashma rahbari: _________ S. Seyitova</v>
      </c>
      <c r="B43" s="22"/>
      <c r="H43" s="23" t="s">
        <v>20</v>
      </c>
      <c r="I43" s="24"/>
      <c r="J43" s="11">
        <f>100*(J44+J45)/J41</f>
        <v>0</v>
      </c>
    </row>
    <row r="44" spans="1:10" x14ac:dyDescent="0.35">
      <c r="A44" s="22" t="str">
        <f>CONCATENATE("Fan o'qituvchi:_________ ", N7)</f>
        <v>Fan o'qituvchi:_________ S. Seyitova</v>
      </c>
      <c r="B44" s="22"/>
      <c r="H44" s="11"/>
      <c r="I44" s="11">
        <v>5</v>
      </c>
      <c r="J44" s="11">
        <f>COUNTIF(J$4:J$40,5)</f>
        <v>0</v>
      </c>
    </row>
    <row r="45" spans="1:10" x14ac:dyDescent="0.35">
      <c r="H45" s="11"/>
      <c r="I45" s="11">
        <v>4</v>
      </c>
      <c r="J45" s="11">
        <f>COUNTIF(J$4:J$40,4)</f>
        <v>0</v>
      </c>
    </row>
    <row r="46" spans="1:10" x14ac:dyDescent="0.35">
      <c r="H46" s="11"/>
      <c r="I46" s="11">
        <v>3</v>
      </c>
      <c r="J46" s="11">
        <f>COUNTIF(J$4:J$40,3)</f>
        <v>0</v>
      </c>
    </row>
    <row r="47" spans="1:10" x14ac:dyDescent="0.35">
      <c r="H47" s="11"/>
      <c r="I47" s="11">
        <v>2</v>
      </c>
      <c r="J47" s="11">
        <f>COUNTIF(J$4:J$40,2)</f>
        <v>36</v>
      </c>
    </row>
  </sheetData>
  <mergeCells count="10">
    <mergeCell ref="A43:B43"/>
    <mergeCell ref="A44:B44"/>
    <mergeCell ref="A1:J1"/>
    <mergeCell ref="A2:A3"/>
    <mergeCell ref="B2:B3"/>
    <mergeCell ref="I2:I3"/>
    <mergeCell ref="J2:J3"/>
    <mergeCell ref="A42:B42"/>
    <mergeCell ref="H42:I42"/>
    <mergeCell ref="H43:I43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 Windows</cp:lastModifiedBy>
  <dcterms:created xsi:type="dcterms:W3CDTF">2026-01-29T05:28:08Z</dcterms:created>
  <dcterms:modified xsi:type="dcterms:W3CDTF">2026-05-16T10:18:07Z</dcterms:modified>
</cp:coreProperties>
</file>