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00" yWindow="150" windowWidth="8580" windowHeight="6890"/>
  </bookViews>
  <sheets>
    <sheet name="Лист1" sheetId="1" r:id="rId1"/>
    <sheet name="Лист2" sheetId="2" r:id="rId2"/>
    <sheet name="Лист3" sheetId="3" r:id="rId3"/>
  </sheets>
  <calcPr calcId="144525"/>
</workbook>
</file>

<file path=xl/calcChain.xml><?xml version="1.0" encoding="utf-8"?>
<calcChain xmlns="http://schemas.openxmlformats.org/spreadsheetml/2006/main">
  <c r="A1" i="1" l="1"/>
  <c r="A43" i="1"/>
  <c r="A44" i="1"/>
  <c r="A42" i="1"/>
  <c r="M40" i="1"/>
  <c r="N40" i="1"/>
  <c r="L40" i="1"/>
  <c r="K40" i="1"/>
  <c r="J40" i="1"/>
  <c r="I40" i="1"/>
  <c r="H40" i="1"/>
  <c r="G40" i="1"/>
  <c r="F40" i="1"/>
  <c r="E40" i="1"/>
  <c r="D40" i="1"/>
  <c r="C40" i="1"/>
  <c r="O47" i="1"/>
  <c r="O46" i="1"/>
  <c r="O45" i="1"/>
  <c r="O44" i="1"/>
  <c r="M3" i="1"/>
  <c r="L3" i="1"/>
  <c r="K3" i="1"/>
  <c r="J3" i="1"/>
  <c r="I3" i="1"/>
  <c r="H3" i="1"/>
  <c r="G3" i="1"/>
  <c r="F3" i="1"/>
  <c r="E3" i="1"/>
  <c r="D3" i="1"/>
  <c r="C3" i="1"/>
  <c r="O41" i="1" l="1"/>
  <c r="O43" i="1" s="1"/>
  <c r="O42" i="1" l="1"/>
</calcChain>
</file>

<file path=xl/sharedStrings.xml><?xml version="1.0" encoding="utf-8"?>
<sst xmlns="http://schemas.openxmlformats.org/spreadsheetml/2006/main" count="23" uniqueCount="22">
  <si>
    <t>O'quvchilarning ismi-sharifi</t>
  </si>
  <si>
    <t>Jami ball</t>
  </si>
  <si>
    <t>Bahosi</t>
  </si>
  <si>
    <t>Foiz</t>
  </si>
  <si>
    <t>O'rtacha ball</t>
  </si>
  <si>
    <t>Metod  birlashma rahbari</t>
  </si>
  <si>
    <t>O'IBDO':</t>
  </si>
  <si>
    <t>Sinf</t>
  </si>
  <si>
    <t>Fan</t>
  </si>
  <si>
    <t>Chorak</t>
  </si>
  <si>
    <t>Fan o'qituvchi</t>
  </si>
  <si>
    <t>Topshiriqlar soni</t>
  </si>
  <si>
    <t>Maksimal ball</t>
  </si>
  <si>
    <t>IX</t>
  </si>
  <si>
    <t>Informatika va AT</t>
  </si>
  <si>
    <t>II</t>
  </si>
  <si>
    <t>O. Sultanov</t>
  </si>
  <si>
    <t>S. Seyitova</t>
  </si>
  <si>
    <t>O'zlashtirish:</t>
  </si>
  <si>
    <t>Samaradorlik:</t>
  </si>
  <si>
    <t>BSB tartibi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</si>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</sst>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sz val="16.5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4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i/>
      <sz val="14"/>
      <color rgb="FF000000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Лист1!$M$4</c:f>
              <c:strCache>
                <c:ptCount val="1"/>
              </c:strCache>
            </c:strRef>
          </c:tx>
          <c:invertIfNegative val="0"/>
          <c:val>
            <c:numRef>
              <c:f>Лист1!$M$5:$M$39</c:f>
              <c:numCache>
                <c:formatCode>General</c:formatCode>
                <c:ptCount val="35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4298496"/>
        <c:axId val="224300032"/>
      </c:barChart>
      <c:catAx>
        <c:axId val="224298496"/>
        <c:scaling>
          <c:orientation val="minMax"/>
        </c:scaling>
        <c:delete val="0"/>
        <c:axPos val="b"/>
        <c:majorTickMark val="out"/>
        <c:minorTickMark val="none"/>
        <c:tickLblPos val="nextTo"/>
        <c:crossAx val="224300032"/>
        <c:crosses val="autoZero"/>
        <c:auto val="1"/>
        <c:lblAlgn val="ctr"/>
        <c:lblOffset val="100"/>
        <c:noMultiLvlLbl val="0"/>
      </c:catAx>
      <c:valAx>
        <c:axId val="2243000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42984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481853</xdr:colOff>
      <xdr:row>47</xdr:row>
      <xdr:rowOff>67235</xdr:rowOff>
    </xdr:from>
    <xdr:to>
      <xdr:col>9</xdr:col>
      <xdr:colOff>235324</xdr:colOff>
      <xdr:row>60</xdr:row>
      <xdr:rowOff>190501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47"/>
  <sheetViews>
    <sheetView tabSelected="1" zoomScale="85" zoomScaleNormal="85" workbookViewId="0">
      <selection activeCell="P9" sqref="P9"/>
    </sheetView>
  </sheetViews>
  <sheetFormatPr defaultColWidth="8.81640625" defaultRowHeight="15.5" x14ac:dyDescent="0.35"/>
  <cols>
    <col min="1" max="1" width="8.81640625" style="6"/>
    <col min="2" max="2" width="32.7265625" style="6" customWidth="1"/>
    <col min="3" max="12" width="4.26953125" style="6" customWidth="1"/>
    <col min="13" max="17" width="8.81640625" style="6"/>
    <col min="18" max="18" width="34.7265625" style="6" customWidth="1"/>
    <col min="19" max="19" width="21.453125" style="6" customWidth="1"/>
    <col min="20" max="20" width="6.1796875" style="6" customWidth="1"/>
    <col min="21" max="29" width="6" style="6" customWidth="1"/>
    <col min="30" max="16384" width="8.81640625" style="6"/>
  </cols>
  <sheetData>
    <row r="1" spans="1:29" ht="28.9" customHeight="1" x14ac:dyDescent="0.35">
      <c r="A1" s="12" t="str">
        <f>CONCATENATE("Amudaryo tumani 22-sonli umumiy o'rta ta'lim maktabi ",S2,"-sinf o'quvchilarining ", S3,"  fanidan o'tkazilgan ", S4,"-chorak  ", S5,"- BSB  tahlili")</f>
        <v>Amudaryo tumani 22-sonli umumiy o'rta ta'lim maktabi IX-sinf o'quvchilarining Informatika va AT  fanidan o'tkazilgan II-chorak  2- BSB  tahlili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spans="1:29" ht="18" x14ac:dyDescent="0.35">
      <c r="A2" s="17" t="s">
        <v>21</v>
      </c>
      <c r="B2" s="17" t="s">
        <v>0</v>
      </c>
      <c r="C2" s="19">
        <v>1</v>
      </c>
      <c r="D2" s="19">
        <v>2</v>
      </c>
      <c r="E2" s="19">
        <v>3</v>
      </c>
      <c r="F2" s="19">
        <v>4</v>
      </c>
      <c r="G2" s="19">
        <v>5</v>
      </c>
      <c r="H2" s="19">
        <v>6</v>
      </c>
      <c r="I2" s="19">
        <v>7</v>
      </c>
      <c r="J2" s="19">
        <v>8</v>
      </c>
      <c r="K2" s="19">
        <v>9</v>
      </c>
      <c r="L2" s="19">
        <v>10</v>
      </c>
      <c r="M2" s="19" t="s">
        <v>1</v>
      </c>
      <c r="N2" s="17" t="s">
        <v>3</v>
      </c>
      <c r="O2" s="17" t="s">
        <v>2</v>
      </c>
      <c r="R2" s="15" t="s">
        <v>7</v>
      </c>
      <c r="S2" s="8" t="s">
        <v>13</v>
      </c>
    </row>
    <row r="3" spans="1:29" ht="18" x14ac:dyDescent="0.35">
      <c r="A3" s="18"/>
      <c r="B3" s="18"/>
      <c r="C3" s="7">
        <f t="shared" ref="C3:L3" si="0">T10</f>
        <v>2.4</v>
      </c>
      <c r="D3" s="7">
        <f t="shared" si="0"/>
        <v>2.4</v>
      </c>
      <c r="E3" s="7">
        <f t="shared" si="0"/>
        <v>2</v>
      </c>
      <c r="F3" s="7">
        <f t="shared" si="0"/>
        <v>5</v>
      </c>
      <c r="G3" s="7">
        <f t="shared" si="0"/>
        <v>2.4</v>
      </c>
      <c r="H3" s="7">
        <f t="shared" si="0"/>
        <v>2.4</v>
      </c>
      <c r="I3" s="7">
        <f t="shared" si="0"/>
        <v>2.4</v>
      </c>
      <c r="J3" s="7">
        <f t="shared" si="0"/>
        <v>2.4</v>
      </c>
      <c r="K3" s="7">
        <f t="shared" si="0"/>
        <v>2.4</v>
      </c>
      <c r="L3" s="7">
        <f t="shared" si="0"/>
        <v>2.4</v>
      </c>
      <c r="M3" s="7">
        <f>S10</f>
        <v>50</v>
      </c>
      <c r="N3" s="18"/>
      <c r="O3" s="18"/>
      <c r="R3" s="15" t="s">
        <v>8</v>
      </c>
      <c r="S3" s="8" t="s">
        <v>14</v>
      </c>
    </row>
    <row r="4" spans="1:29" ht="18" x14ac:dyDescent="0.35">
      <c r="A4" s="7">
        <v>1</v>
      </c>
      <c r="B4" s="10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R4" s="15" t="s">
        <v>9</v>
      </c>
      <c r="S4" s="8" t="s">
        <v>15</v>
      </c>
    </row>
    <row r="5" spans="1:29" ht="18" x14ac:dyDescent="0.35">
      <c r="A5" s="7">
        <v>2</v>
      </c>
      <c r="B5" s="10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R5" s="15" t="s">
        <v>20</v>
      </c>
      <c r="S5" s="8">
        <v>2</v>
      </c>
    </row>
    <row r="6" spans="1:29" ht="18" x14ac:dyDescent="0.35">
      <c r="A6" s="7">
        <v>3</v>
      </c>
      <c r="B6" s="10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R6" s="15" t="s">
        <v>6</v>
      </c>
      <c r="S6" s="8" t="s">
        <v>16</v>
      </c>
    </row>
    <row r="7" spans="1:29" ht="18" x14ac:dyDescent="0.35">
      <c r="A7" s="7">
        <v>4</v>
      </c>
      <c r="B7" s="10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R7" s="15" t="s">
        <v>5</v>
      </c>
      <c r="S7" s="8" t="s">
        <v>17</v>
      </c>
    </row>
    <row r="8" spans="1:29" ht="18" x14ac:dyDescent="0.35">
      <c r="A8" s="7">
        <v>5</v>
      </c>
      <c r="B8" s="10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R8" s="15" t="s">
        <v>10</v>
      </c>
      <c r="S8" s="8" t="s">
        <v>17</v>
      </c>
    </row>
    <row r="9" spans="1:29" ht="18" x14ac:dyDescent="0.35">
      <c r="A9" s="7">
        <v>6</v>
      </c>
      <c r="B9" s="10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R9" s="16" t="s">
        <v>11</v>
      </c>
      <c r="S9" s="9">
        <v>15</v>
      </c>
      <c r="T9" s="7">
        <v>1</v>
      </c>
      <c r="U9" s="7">
        <v>2</v>
      </c>
      <c r="V9" s="7">
        <v>3</v>
      </c>
      <c r="W9" s="7">
        <v>4</v>
      </c>
      <c r="X9" s="7">
        <v>5</v>
      </c>
      <c r="Y9" s="7">
        <v>6</v>
      </c>
      <c r="Z9" s="7">
        <v>7</v>
      </c>
      <c r="AA9" s="7">
        <v>8</v>
      </c>
      <c r="AB9" s="7">
        <v>9</v>
      </c>
      <c r="AC9" s="7">
        <v>10</v>
      </c>
    </row>
    <row r="10" spans="1:29" ht="21" x14ac:dyDescent="0.35">
      <c r="A10" s="7">
        <v>7</v>
      </c>
      <c r="B10" s="10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R10" s="16" t="s">
        <v>12</v>
      </c>
      <c r="S10" s="9">
        <v>50</v>
      </c>
      <c r="T10" s="1">
        <v>2.4</v>
      </c>
      <c r="U10" s="1">
        <v>2.4</v>
      </c>
      <c r="V10" s="1">
        <v>2</v>
      </c>
      <c r="W10" s="1">
        <v>5</v>
      </c>
      <c r="X10" s="1">
        <v>2.4</v>
      </c>
      <c r="Y10" s="1">
        <v>2.4</v>
      </c>
      <c r="Z10" s="1">
        <v>2.4</v>
      </c>
      <c r="AA10" s="1">
        <v>2.4</v>
      </c>
      <c r="AB10" s="1">
        <v>2.4</v>
      </c>
      <c r="AC10" s="1">
        <v>2.4</v>
      </c>
    </row>
    <row r="11" spans="1:29" x14ac:dyDescent="0.35">
      <c r="A11" s="7">
        <v>8</v>
      </c>
      <c r="B11" s="10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29" x14ac:dyDescent="0.35">
      <c r="A12" s="7">
        <v>9</v>
      </c>
      <c r="B12" s="10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29" x14ac:dyDescent="0.35">
      <c r="A13" s="7">
        <v>10</v>
      </c>
      <c r="B13" s="10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29" x14ac:dyDescent="0.35">
      <c r="A14" s="7">
        <v>11</v>
      </c>
      <c r="B14" s="10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29" x14ac:dyDescent="0.35">
      <c r="A15" s="7">
        <v>12</v>
      </c>
      <c r="B15" s="10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29" x14ac:dyDescent="0.35">
      <c r="A16" s="7">
        <v>13</v>
      </c>
      <c r="B16" s="10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35">
      <c r="A17" s="7">
        <v>14</v>
      </c>
      <c r="B17" s="10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35">
      <c r="A18" s="7">
        <v>15</v>
      </c>
      <c r="B18" s="10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35">
      <c r="A19" s="7">
        <v>16</v>
      </c>
      <c r="B19" s="10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35">
      <c r="A20" s="7">
        <v>17</v>
      </c>
      <c r="B20" s="10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35">
      <c r="A21" s="7">
        <v>18</v>
      </c>
      <c r="B21" s="10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35">
      <c r="A22" s="7">
        <v>19</v>
      </c>
      <c r="B22" s="10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35">
      <c r="A23" s="7">
        <v>20</v>
      </c>
      <c r="B23" s="10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35">
      <c r="A24" s="7">
        <v>21</v>
      </c>
      <c r="B24" s="10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35">
      <c r="A25" s="7">
        <v>22</v>
      </c>
      <c r="B25" s="10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35">
      <c r="A26" s="7">
        <v>23</v>
      </c>
      <c r="B26" s="10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35">
      <c r="A27" s="7">
        <v>24</v>
      </c>
      <c r="B27" s="10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35">
      <c r="A28" s="7">
        <v>25</v>
      </c>
      <c r="B28" s="10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35">
      <c r="A29" s="7">
        <v>26</v>
      </c>
      <c r="B29" s="10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35">
      <c r="A30" s="7">
        <v>27</v>
      </c>
      <c r="B30" s="10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35">
      <c r="A31" s="7">
        <v>28</v>
      </c>
      <c r="B31" s="10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35">
      <c r="A32" s="7">
        <v>29</v>
      </c>
      <c r="B32" s="10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x14ac:dyDescent="0.35">
      <c r="A33" s="7">
        <v>30</v>
      </c>
      <c r="B33" s="10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x14ac:dyDescent="0.35">
      <c r="A34" s="7">
        <v>31</v>
      </c>
      <c r="B34" s="10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x14ac:dyDescent="0.35">
      <c r="A35" s="7">
        <v>32</v>
      </c>
      <c r="B35" s="10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</row>
    <row r="36" spans="1:15" x14ac:dyDescent="0.35">
      <c r="A36" s="7">
        <v>33</v>
      </c>
      <c r="B36" s="10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</row>
    <row r="37" spans="1:15" x14ac:dyDescent="0.35">
      <c r="A37" s="7">
        <v>34</v>
      </c>
      <c r="B37" s="10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</row>
    <row r="38" spans="1:15" x14ac:dyDescent="0.35">
      <c r="A38" s="7">
        <v>35</v>
      </c>
      <c r="B38" s="10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35">
      <c r="A39" s="7">
        <v>36</v>
      </c>
      <c r="B39" s="10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</row>
    <row r="40" spans="1:15" ht="17.5" x14ac:dyDescent="0.35">
      <c r="A40" s="7"/>
      <c r="B40" s="7" t="s">
        <v>4</v>
      </c>
      <c r="C40" s="4" t="e">
        <f>SUBTOTAL(1,C4:C39)</f>
        <v>#DIV/0!</v>
      </c>
      <c r="D40" s="4" t="e">
        <f t="shared" ref="D40:L40" si="1">SUBTOTAL(1,D4:D39)</f>
        <v>#DIV/0!</v>
      </c>
      <c r="E40" s="4" t="e">
        <f t="shared" si="1"/>
        <v>#DIV/0!</v>
      </c>
      <c r="F40" s="4" t="e">
        <f t="shared" si="1"/>
        <v>#DIV/0!</v>
      </c>
      <c r="G40" s="4" t="e">
        <f t="shared" si="1"/>
        <v>#DIV/0!</v>
      </c>
      <c r="H40" s="4" t="e">
        <f t="shared" si="1"/>
        <v>#DIV/0!</v>
      </c>
      <c r="I40" s="4" t="e">
        <f t="shared" si="1"/>
        <v>#DIV/0!</v>
      </c>
      <c r="J40" s="4" t="e">
        <f t="shared" si="1"/>
        <v>#DIV/0!</v>
      </c>
      <c r="K40" s="4" t="e">
        <f t="shared" si="1"/>
        <v>#DIV/0!</v>
      </c>
      <c r="L40" s="4" t="e">
        <f t="shared" si="1"/>
        <v>#DIV/0!</v>
      </c>
      <c r="M40" s="4" t="str">
        <f>IFERROR(SUBTOTAL(101,M4:M39),"")</f>
        <v/>
      </c>
      <c r="N40" s="5" t="str">
        <f>IFERROR(SUBTOTAL(101,N4:N39),"")</f>
        <v/>
      </c>
      <c r="O40" s="7"/>
    </row>
    <row r="41" spans="1:15" ht="18" x14ac:dyDescent="0.35">
      <c r="O41" s="3">
        <f>O44+O45+O46+O47</f>
        <v>0</v>
      </c>
    </row>
    <row r="42" spans="1:15" ht="18" x14ac:dyDescent="0.35">
      <c r="A42" s="11" t="str">
        <f>CONCATENATE("O'IBDO':_________", S6)</f>
        <v>O'IBDO':_________O. Sultanov</v>
      </c>
      <c r="B42" s="11"/>
      <c r="M42" s="13" t="s">
        <v>18</v>
      </c>
      <c r="N42" s="14"/>
      <c r="O42" s="2" t="e">
        <f>100*(O44+O45+O46)/O41</f>
        <v>#DIV/0!</v>
      </c>
    </row>
    <row r="43" spans="1:15" ht="18.649999999999999" customHeight="1" x14ac:dyDescent="0.35">
      <c r="A43" s="11" t="str">
        <f>CONCATENATE("Metod  birlashma rahbari: _________ ", S7)</f>
        <v>Metod  birlashma rahbari: _________ S. Seyitova</v>
      </c>
      <c r="B43" s="11"/>
      <c r="M43" s="13" t="s">
        <v>19</v>
      </c>
      <c r="N43" s="14"/>
      <c r="O43" s="2" t="e">
        <f>100*(O44+O45)/O41</f>
        <v>#DIV/0!</v>
      </c>
    </row>
    <row r="44" spans="1:15" ht="18" x14ac:dyDescent="0.35">
      <c r="A44" s="11" t="str">
        <f>CONCATENATE("Fan o'qituvchi:_________ ", S7)</f>
        <v>Fan o'qituvchi:_________ S. Seyitova</v>
      </c>
      <c r="B44" s="11"/>
      <c r="M44" s="2"/>
      <c r="N44" s="2">
        <v>5</v>
      </c>
      <c r="O44" s="2">
        <f>COUNTIF(O$4:O$40,5)</f>
        <v>0</v>
      </c>
    </row>
    <row r="45" spans="1:15" ht="18" x14ac:dyDescent="0.35">
      <c r="M45" s="2"/>
      <c r="N45" s="2">
        <v>4</v>
      </c>
      <c r="O45" s="2">
        <f>COUNTIF(O$4:O$40,4)</f>
        <v>0</v>
      </c>
    </row>
    <row r="46" spans="1:15" ht="18" x14ac:dyDescent="0.35">
      <c r="M46" s="2"/>
      <c r="N46" s="2">
        <v>3</v>
      </c>
      <c r="O46" s="2">
        <f>COUNTIF(O$4:O$40,3)</f>
        <v>0</v>
      </c>
    </row>
    <row r="47" spans="1:15" ht="18" x14ac:dyDescent="0.35">
      <c r="M47" s="2"/>
      <c r="N47" s="2">
        <v>2</v>
      </c>
      <c r="O47" s="2">
        <f>COUNTIF(O$4:O$40,2)</f>
        <v>0</v>
      </c>
    </row>
  </sheetData>
  <mergeCells count="10">
    <mergeCell ref="A43:B43"/>
    <mergeCell ref="A44:B44"/>
    <mergeCell ref="A1:O1"/>
    <mergeCell ref="A2:A3"/>
    <mergeCell ref="B2:B3"/>
    <mergeCell ref="N2:N3"/>
    <mergeCell ref="O2:O3"/>
    <mergeCell ref="A42:B42"/>
    <mergeCell ref="M42:N42"/>
    <mergeCell ref="M43:N43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Home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 Windows</cp:lastModifiedBy>
  <dcterms:created xsi:type="dcterms:W3CDTF">2026-01-29T05:28:08Z</dcterms:created>
  <dcterms:modified xsi:type="dcterms:W3CDTF">2026-02-28T17:53:19Z</dcterms:modified>
</cp:coreProperties>
</file>