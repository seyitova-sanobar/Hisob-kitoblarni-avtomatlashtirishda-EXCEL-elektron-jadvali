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80" windowWidth="19420" windowHeight="9530" activeTab="3"/>
  </bookViews>
  <sheets>
    <sheet name="1-mashg'ulot" sheetId="8" r:id="rId1"/>
    <sheet name="O'yin konsoli" sheetId="1" r:id="rId2"/>
    <sheet name="Sovrinlar" sheetId="2" r:id="rId3"/>
    <sheet name="Qiziqadigan fan" sheetId="3" r:id="rId4"/>
    <sheet name="23-dars" sheetId="4" r:id="rId5"/>
    <sheet name="9-1-mashg'ulot" sheetId="5" r:id="rId6"/>
    <sheet name="Keks" sheetId="6" r:id="rId7"/>
    <sheet name="Ta'til" sheetId="7" r:id="rId8"/>
  </sheets>
  <definedNames>
    <definedName name="_GoBack" localSheetId="6">Keks!#REF!</definedName>
  </definedNames>
  <calcPr calcId="144525"/>
</workbook>
</file>

<file path=xl/calcChain.xml><?xml version="1.0" encoding="utf-8"?>
<calcChain xmlns="http://schemas.openxmlformats.org/spreadsheetml/2006/main">
  <c r="F13" i="8" l="1"/>
  <c r="F12" i="8"/>
  <c r="F11" i="8"/>
  <c r="F10" i="8"/>
  <c r="F9" i="8"/>
  <c r="F8" i="8"/>
  <c r="F7" i="8"/>
  <c r="F6" i="8"/>
  <c r="F5" i="8"/>
  <c r="F4" i="8"/>
  <c r="F3" i="8"/>
  <c r="F2" i="8"/>
  <c r="H11" i="7"/>
  <c r="E12" i="7"/>
  <c r="F12" i="7"/>
  <c r="E11" i="7"/>
  <c r="G11" i="7"/>
  <c r="E7" i="7"/>
  <c r="G7" i="7" s="1"/>
  <c r="E6" i="7"/>
  <c r="H6" i="7" s="1"/>
  <c r="D3" i="7"/>
  <c r="F3" i="7" s="1"/>
  <c r="D2" i="7"/>
  <c r="E2" i="7" s="1"/>
  <c r="D11" i="6"/>
  <c r="C11" i="6"/>
  <c r="D10" i="6"/>
  <c r="C10" i="6"/>
  <c r="E6" i="6"/>
  <c r="F6" i="6" s="1"/>
  <c r="E5" i="6"/>
  <c r="F5" i="6" s="1"/>
  <c r="E4" i="6"/>
  <c r="F4" i="6" s="1"/>
  <c r="E3" i="6"/>
  <c r="F3" i="6"/>
  <c r="E2" i="6"/>
  <c r="F2" i="6" s="1"/>
  <c r="B14" i="5"/>
  <c r="B13" i="5"/>
  <c r="B15" i="5" s="1"/>
  <c r="B5" i="1"/>
  <c r="B6" i="1"/>
  <c r="B7" i="2"/>
  <c r="B8" i="2" s="1"/>
  <c r="B6" i="2"/>
  <c r="D4" i="7"/>
  <c r="E4" i="7" s="1"/>
  <c r="H7" i="7"/>
  <c r="H12" i="7"/>
  <c r="E8" i="7"/>
  <c r="H8" i="7" s="1"/>
  <c r="G12" i="7"/>
  <c r="E13" i="7"/>
  <c r="F11" i="7"/>
  <c r="G8" i="7"/>
  <c r="F8" i="7"/>
  <c r="F4" i="7"/>
  <c r="F13" i="7"/>
  <c r="G13" i="7"/>
  <c r="H13" i="7"/>
  <c r="F7" i="6" l="1"/>
  <c r="B8" i="6" s="1"/>
  <c r="B10" i="6" s="1"/>
  <c r="F7" i="7"/>
  <c r="F2" i="7"/>
  <c r="G6" i="7"/>
  <c r="F6" i="7"/>
  <c r="E3" i="7"/>
</calcChain>
</file>

<file path=xl/sharedStrings.xml><?xml version="1.0" encoding="utf-8"?>
<sst xmlns="http://schemas.openxmlformats.org/spreadsheetml/2006/main" count="97" uniqueCount="83">
  <si>
    <t>Haftalik daromad puli</t>
  </si>
  <si>
    <t>Har hafta sarflanadigan pul</t>
  </si>
  <si>
    <t>Haftalar soni</t>
  </si>
  <si>
    <t>O'yin konsoli narxi</t>
  </si>
  <si>
    <t>Har hafta tejadigan pul</t>
  </si>
  <si>
    <t>birinchi sovrin qiymati</t>
  </si>
  <si>
    <t xml:space="preserve"> ikkinchi sovrin qiymati</t>
  </si>
  <si>
    <t>uchinchi sovrin qiymati</t>
  </si>
  <si>
    <t>ishtirok uchun kiritilgan arizalar soni</t>
  </si>
  <si>
    <t>ishtirok etish narxi</t>
  </si>
  <si>
    <t>umumiy sovrin puli</t>
  </si>
  <si>
    <t>jami daromad</t>
  </si>
  <si>
    <t>ishlangan pul</t>
  </si>
  <si>
    <t>Ismi</t>
  </si>
  <si>
    <t>Qiziqadigan fani</t>
  </si>
  <si>
    <t>№</t>
  </si>
  <si>
    <t>Ingliz tili</t>
  </si>
  <si>
    <t>Matematika</t>
  </si>
  <si>
    <t>Tarix</t>
  </si>
  <si>
    <t>Kamola</t>
  </si>
  <si>
    <t>Sarvar</t>
  </si>
  <si>
    <t>Dilshod</t>
  </si>
  <si>
    <t>Mohira</t>
  </si>
  <si>
    <t>Shodiya</t>
  </si>
  <si>
    <t>Jismoniy tarbiya</t>
  </si>
  <si>
    <t>O'yin konsoli uchun tejaladigan pullar</t>
  </si>
  <si>
    <t>Un</t>
  </si>
  <si>
    <t>Shakar</t>
  </si>
  <si>
    <t>Sariyog'</t>
  </si>
  <si>
    <t>Shakar upasi</t>
  </si>
  <si>
    <t>Tuxum</t>
  </si>
  <si>
    <t>20 ta keks</t>
  </si>
  <si>
    <t>1 ta keks</t>
  </si>
  <si>
    <t>Sotish narxi</t>
  </si>
  <si>
    <t>Daromad</t>
  </si>
  <si>
    <t>Masalliq narxi</t>
  </si>
  <si>
    <t>Masalliq miqdori</t>
  </si>
  <si>
    <t>Masalliq</t>
  </si>
  <si>
    <t>1 ta 
keks</t>
  </si>
  <si>
    <t>Turi</t>
  </si>
  <si>
    <t>Sotilgan soni</t>
  </si>
  <si>
    <t>Ko'k ruchka</t>
  </si>
  <si>
    <t>Qora ruchka</t>
  </si>
  <si>
    <t>Qizil ruchka</t>
  </si>
  <si>
    <t>Yashil ruchka</t>
  </si>
  <si>
    <t>Birinchi o'rin</t>
  </si>
  <si>
    <t>Ikkinchi o'rin</t>
  </si>
  <si>
    <t>Uchinchi o'rin</t>
  </si>
  <si>
    <t>Chipta narxi</t>
  </si>
  <si>
    <t>Umumiy yutuq fondi</t>
  </si>
  <si>
    <t>Jami daromad</t>
  </si>
  <si>
    <t>Foyda</t>
  </si>
  <si>
    <t>Jamoalar soni</t>
  </si>
  <si>
    <t>1 ta keks narxi:</t>
  </si>
  <si>
    <t>100 ta</t>
  </si>
  <si>
    <t>5000 ta</t>
  </si>
  <si>
    <t>Katta odam</t>
  </si>
  <si>
    <t>Bolalar</t>
  </si>
  <si>
    <t>Sohil bo'yi</t>
  </si>
  <si>
    <t>Musaffo dengiz qirg'ogi</t>
  </si>
  <si>
    <t>Kun botish kurorti</t>
  </si>
  <si>
    <t>7 kun</t>
  </si>
  <si>
    <t>10 kun</t>
  </si>
  <si>
    <t>1 kun</t>
  </si>
  <si>
    <t>14 kun</t>
  </si>
  <si>
    <t>O'quvchilar ismi-sharifi</t>
  </si>
  <si>
    <t>1-BSB</t>
  </si>
  <si>
    <t>2-BSB</t>
  </si>
  <si>
    <t>1-CHSB</t>
  </si>
  <si>
    <t>FB</t>
  </si>
  <si>
    <t>Jami</t>
  </si>
  <si>
    <t>Rajabboyev Hasan</t>
  </si>
  <si>
    <t>Rajabboyev Husan</t>
  </si>
  <si>
    <t>Rustamov Javohir</t>
  </si>
  <si>
    <t>Sadullayeva Dinara</t>
  </si>
  <si>
    <t>Saparboyev Elyorbek</t>
  </si>
  <si>
    <t>Soliyeva Hosila</t>
  </si>
  <si>
    <t>Yalg'ashova Go'zaloy</t>
  </si>
  <si>
    <t>Yangiboyeva Muxlisa</t>
  </si>
  <si>
    <t>Yusupbayeva Mohinur</t>
  </si>
  <si>
    <t>Yo'ldosheva Charos</t>
  </si>
  <si>
    <t>O'razimbetov Ozodbek</t>
  </si>
  <si>
    <t>Sharshanboyeva Mashhura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</si>
</sst>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11"/>
      <color rgb="FFFFFF00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7" fillId="0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8" fillId="7" borderId="4" xfId="0" applyFont="1" applyFill="1" applyBorder="1"/>
    <xf numFmtId="0" fontId="8" fillId="7" borderId="14" xfId="0" applyFont="1" applyFill="1" applyBorder="1"/>
    <xf numFmtId="0" fontId="8" fillId="7" borderId="10" xfId="0" applyFont="1" applyFill="1" applyBorder="1"/>
    <xf numFmtId="0" fontId="8" fillId="4" borderId="4" xfId="0" applyFont="1" applyFill="1" applyBorder="1"/>
    <xf numFmtId="0" fontId="14" fillId="0" borderId="0" xfId="0" applyFont="1" applyAlignment="1">
      <alignment horizontal="center" vertical="center"/>
    </xf>
  </cellXfs>
  <cellStyles count="1">
    <cellStyle name="Обычный" xfId="0" builtinId="0"/>
  </cellStyles>
  <dxfs count="4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799997107799545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'23-dars'!$B$1</c:f>
              <c:strCache>
                <c:ptCount val="1"/>
                <c:pt idx="0">
                  <c:v>Sotilgan soni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tx1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00B050"/>
              </a:solidFill>
            </c:spPr>
          </c:dPt>
          <c:cat>
            <c:strRef>
              <c:f>'23-dars'!$A$2:$A$5</c:f>
              <c:strCache>
                <c:ptCount val="4"/>
                <c:pt idx="0">
                  <c:v>Ko'k ruchka</c:v>
                </c:pt>
                <c:pt idx="1">
                  <c:v>Qora ruchka</c:v>
                </c:pt>
                <c:pt idx="2">
                  <c:v>Qizil ruchka</c:v>
                </c:pt>
                <c:pt idx="3">
                  <c:v>Yashil ruchka</c:v>
                </c:pt>
              </c:strCache>
            </c:strRef>
          </c:cat>
          <c:val>
            <c:numRef>
              <c:f>'23-dars'!$B$2:$B$5</c:f>
              <c:numCache>
                <c:formatCode>General</c:formatCode>
                <c:ptCount val="4"/>
                <c:pt idx="0">
                  <c:v>30</c:v>
                </c:pt>
                <c:pt idx="1">
                  <c:v>25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011840"/>
        <c:axId val="213025920"/>
      </c:barChart>
      <c:catAx>
        <c:axId val="21301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3025920"/>
        <c:crosses val="autoZero"/>
        <c:auto val="1"/>
        <c:lblAlgn val="ctr"/>
        <c:lblOffset val="100"/>
        <c:noMultiLvlLbl val="0"/>
      </c:catAx>
      <c:valAx>
        <c:axId val="213025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011840"/>
        <c:crosses val="autoZero"/>
        <c:crossBetween val="between"/>
      </c:valAx>
      <c:spPr>
        <a:solidFill>
          <a:srgbClr val="FFC000"/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'9-1-mashg''ulot'!$K$1</c:f>
              <c:strCache>
                <c:ptCount val="1"/>
                <c:pt idx="0">
                  <c:v>Foyda</c:v>
                </c:pt>
              </c:strCache>
            </c:strRef>
          </c:tx>
          <c:marker>
            <c:symbol val="none"/>
          </c:marker>
          <c:xVal>
            <c:numRef>
              <c:f>'9-1-mashg''ulot'!$J$2:$J$5</c:f>
              <c:numCache>
                <c:formatCode>General</c:formatCode>
                <c:ptCount val="4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</c:numCache>
            </c:numRef>
          </c:xVal>
          <c:yVal>
            <c:numRef>
              <c:f>'9-1-mashg''ulot'!$K$2:$K$5</c:f>
              <c:numCache>
                <c:formatCode>General</c:formatCode>
                <c:ptCount val="4"/>
                <c:pt idx="0">
                  <c:v>800</c:v>
                </c:pt>
                <c:pt idx="1">
                  <c:v>1300</c:v>
                </c:pt>
                <c:pt idx="2">
                  <c:v>1800</c:v>
                </c:pt>
                <c:pt idx="3">
                  <c:v>2300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56672"/>
        <c:axId val="212958208"/>
      </c:scatterChart>
      <c:valAx>
        <c:axId val="21295667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12958208"/>
        <c:crosses val="autoZero"/>
        <c:crossBetween val="midCat"/>
      </c:valAx>
      <c:valAx>
        <c:axId val="2129582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1295667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114300</xdr:rowOff>
    </xdr:from>
    <xdr:to>
      <xdr:col>8</xdr:col>
      <xdr:colOff>104775</xdr:colOff>
      <xdr:row>9</xdr:row>
      <xdr:rowOff>85725</xdr:rowOff>
    </xdr:to>
    <xdr:graphicFrame macro="">
      <xdr:nvGraphicFramePr>
        <xdr:cNvPr id="1038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5</xdr:row>
      <xdr:rowOff>209550</xdr:rowOff>
    </xdr:from>
    <xdr:to>
      <xdr:col>9</xdr:col>
      <xdr:colOff>828675</xdr:colOff>
      <xdr:row>17</xdr:row>
      <xdr:rowOff>133350</xdr:rowOff>
    </xdr:to>
    <xdr:graphicFrame macro="">
      <xdr:nvGraphicFramePr>
        <xdr:cNvPr id="308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J5" sqref="J5"/>
    </sheetView>
  </sheetViews>
  <sheetFormatPr defaultColWidth="9.1796875" defaultRowHeight="18.75" customHeight="1" x14ac:dyDescent="0.35"/>
  <cols>
    <col min="1" max="1" width="26.453125" style="28" customWidth="1"/>
    <col min="2" max="6" width="11.54296875" style="28" customWidth="1"/>
    <col min="7" max="16384" width="9.1796875" style="28"/>
  </cols>
  <sheetData>
    <row r="1" spans="1:6" ht="27.75" customHeight="1" x14ac:dyDescent="0.35">
      <c r="A1" s="26" t="s">
        <v>65</v>
      </c>
      <c r="B1" s="27" t="s">
        <v>66</v>
      </c>
      <c r="C1" s="27" t="s">
        <v>67</v>
      </c>
      <c r="D1" s="27" t="s">
        <v>68</v>
      </c>
      <c r="E1" s="27" t="s">
        <v>69</v>
      </c>
      <c r="F1" s="27" t="s">
        <v>70</v>
      </c>
    </row>
    <row r="2" spans="1:6" ht="18.75" customHeight="1" x14ac:dyDescent="0.35">
      <c r="A2" s="29" t="s">
        <v>71</v>
      </c>
      <c r="B2" s="30">
        <v>18</v>
      </c>
      <c r="C2" s="30">
        <v>19</v>
      </c>
      <c r="D2" s="30">
        <v>32</v>
      </c>
      <c r="E2" s="30">
        <v>8</v>
      </c>
      <c r="F2" s="30">
        <f>SUM(B2:E2)</f>
        <v>77</v>
      </c>
    </row>
    <row r="3" spans="1:6" ht="18.75" customHeight="1" x14ac:dyDescent="0.35">
      <c r="A3" s="31" t="s">
        <v>72</v>
      </c>
      <c r="B3" s="32">
        <v>20</v>
      </c>
      <c r="C3" s="32">
        <v>19</v>
      </c>
      <c r="D3" s="32">
        <v>28</v>
      </c>
      <c r="E3" s="32">
        <v>8</v>
      </c>
      <c r="F3" s="30">
        <f t="shared" ref="F3:F13" si="0">SUM(B3:E3)</f>
        <v>75</v>
      </c>
    </row>
    <row r="4" spans="1:6" ht="18.75" customHeight="1" x14ac:dyDescent="0.35">
      <c r="A4" s="31" t="s">
        <v>73</v>
      </c>
      <c r="B4" s="32">
        <v>18</v>
      </c>
      <c r="C4" s="32">
        <v>21</v>
      </c>
      <c r="D4" s="32">
        <v>27</v>
      </c>
      <c r="E4" s="32">
        <v>9</v>
      </c>
      <c r="F4" s="30">
        <f t="shared" si="0"/>
        <v>75</v>
      </c>
    </row>
    <row r="5" spans="1:6" ht="18.75" customHeight="1" x14ac:dyDescent="0.35">
      <c r="A5" s="31" t="s">
        <v>74</v>
      </c>
      <c r="B5" s="32">
        <v>20</v>
      </c>
      <c r="C5" s="32">
        <v>21</v>
      </c>
      <c r="D5" s="32">
        <v>28</v>
      </c>
      <c r="E5" s="32">
        <v>9</v>
      </c>
      <c r="F5" s="30">
        <f t="shared" si="0"/>
        <v>78</v>
      </c>
    </row>
    <row r="6" spans="1:6" ht="18.75" customHeight="1" x14ac:dyDescent="0.35">
      <c r="A6" s="33" t="s">
        <v>75</v>
      </c>
      <c r="B6" s="32">
        <v>15</v>
      </c>
      <c r="C6" s="32">
        <v>16</v>
      </c>
      <c r="D6" s="32">
        <v>24</v>
      </c>
      <c r="E6" s="32">
        <v>7</v>
      </c>
      <c r="F6" s="30">
        <f t="shared" si="0"/>
        <v>62</v>
      </c>
    </row>
    <row r="7" spans="1:6" ht="18.75" customHeight="1" x14ac:dyDescent="0.35">
      <c r="A7" s="31" t="s">
        <v>76</v>
      </c>
      <c r="B7" s="32">
        <v>23</v>
      </c>
      <c r="C7" s="32">
        <v>19</v>
      </c>
      <c r="D7" s="32">
        <v>33</v>
      </c>
      <c r="E7" s="32">
        <v>9</v>
      </c>
      <c r="F7" s="30">
        <f t="shared" si="0"/>
        <v>84</v>
      </c>
    </row>
    <row r="8" spans="1:6" ht="18.75" customHeight="1" x14ac:dyDescent="0.35">
      <c r="A8" s="31" t="s">
        <v>77</v>
      </c>
      <c r="B8" s="32">
        <v>18</v>
      </c>
      <c r="C8" s="32">
        <v>16</v>
      </c>
      <c r="D8" s="32">
        <v>28</v>
      </c>
      <c r="E8" s="32">
        <v>7</v>
      </c>
      <c r="F8" s="30">
        <f t="shared" si="0"/>
        <v>69</v>
      </c>
    </row>
    <row r="9" spans="1:6" ht="18.75" customHeight="1" x14ac:dyDescent="0.35">
      <c r="A9" s="31" t="s">
        <v>78</v>
      </c>
      <c r="B9" s="32">
        <v>23</v>
      </c>
      <c r="C9" s="32">
        <v>19</v>
      </c>
      <c r="D9" s="32">
        <v>34</v>
      </c>
      <c r="E9" s="32">
        <v>8</v>
      </c>
      <c r="F9" s="30">
        <f t="shared" si="0"/>
        <v>84</v>
      </c>
    </row>
    <row r="10" spans="1:6" ht="18.75" customHeight="1" x14ac:dyDescent="0.35">
      <c r="A10" s="31" t="s">
        <v>79</v>
      </c>
      <c r="B10" s="32">
        <v>20</v>
      </c>
      <c r="C10" s="32">
        <v>17</v>
      </c>
      <c r="D10" s="32">
        <v>34</v>
      </c>
      <c r="E10" s="32">
        <v>8</v>
      </c>
      <c r="F10" s="30">
        <f t="shared" si="0"/>
        <v>79</v>
      </c>
    </row>
    <row r="11" spans="1:6" ht="18.75" customHeight="1" x14ac:dyDescent="0.35">
      <c r="A11" s="33" t="s">
        <v>80</v>
      </c>
      <c r="B11" s="32">
        <v>23</v>
      </c>
      <c r="C11" s="32">
        <v>21</v>
      </c>
      <c r="D11" s="32">
        <v>29</v>
      </c>
      <c r="E11" s="32">
        <v>9</v>
      </c>
      <c r="F11" s="30">
        <f t="shared" si="0"/>
        <v>82</v>
      </c>
    </row>
    <row r="12" spans="1:6" ht="18.75" customHeight="1" x14ac:dyDescent="0.35">
      <c r="A12" s="31" t="s">
        <v>81</v>
      </c>
      <c r="B12" s="32">
        <v>20</v>
      </c>
      <c r="C12" s="32">
        <v>21</v>
      </c>
      <c r="D12" s="32">
        <v>21</v>
      </c>
      <c r="E12" s="32">
        <v>8</v>
      </c>
      <c r="F12" s="30">
        <f t="shared" si="0"/>
        <v>70</v>
      </c>
    </row>
    <row r="13" spans="1:6" ht="18.75" customHeight="1" x14ac:dyDescent="0.35">
      <c r="A13" s="31" t="s">
        <v>82</v>
      </c>
      <c r="B13" s="32">
        <v>20</v>
      </c>
      <c r="C13" s="32">
        <v>21</v>
      </c>
      <c r="D13" s="32">
        <v>34</v>
      </c>
      <c r="E13" s="32">
        <v>9</v>
      </c>
      <c r="F13" s="30">
        <f t="shared" si="0"/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75" zoomScaleNormal="175" workbookViewId="0">
      <selection activeCell="B9" sqref="B9"/>
    </sheetView>
  </sheetViews>
  <sheetFormatPr defaultColWidth="8.81640625" defaultRowHeight="18" x14ac:dyDescent="0.35"/>
  <cols>
    <col min="1" max="1" width="31.7265625" style="6" customWidth="1"/>
    <col min="2" max="2" width="14.7265625" style="6" customWidth="1"/>
    <col min="3" max="4" width="4.7265625" style="6" customWidth="1"/>
    <col min="5" max="5" width="25" style="6" customWidth="1"/>
    <col min="6" max="6" width="9.453125" style="6" bestFit="1" customWidth="1"/>
    <col min="7" max="16384" width="8.81640625" style="6"/>
  </cols>
  <sheetData>
    <row r="1" spans="1:6" ht="18" customHeight="1" x14ac:dyDescent="0.35">
      <c r="A1" s="34" t="s">
        <v>25</v>
      </c>
      <c r="B1" s="35"/>
      <c r="C1" s="35"/>
      <c r="D1" s="35"/>
      <c r="E1" s="35"/>
      <c r="F1" s="36"/>
    </row>
    <row r="2" spans="1:6" x14ac:dyDescent="0.35">
      <c r="A2" s="37"/>
      <c r="B2" s="38"/>
      <c r="C2" s="38"/>
      <c r="D2" s="38"/>
      <c r="E2" s="38"/>
      <c r="F2" s="39"/>
    </row>
    <row r="3" spans="1:6" x14ac:dyDescent="0.35">
      <c r="A3" s="7" t="s">
        <v>0</v>
      </c>
      <c r="B3" s="7">
        <v>11100</v>
      </c>
      <c r="E3" s="7" t="s">
        <v>3</v>
      </c>
      <c r="F3" s="7">
        <v>999990</v>
      </c>
    </row>
    <row r="4" spans="1:6" x14ac:dyDescent="0.35">
      <c r="A4" s="1" t="s">
        <v>1</v>
      </c>
      <c r="B4" s="1">
        <v>0</v>
      </c>
    </row>
    <row r="5" spans="1:6" x14ac:dyDescent="0.35">
      <c r="A5" s="1" t="s">
        <v>4</v>
      </c>
      <c r="B5" s="1">
        <f>B3-B4</f>
        <v>11100</v>
      </c>
    </row>
    <row r="6" spans="1:6" x14ac:dyDescent="0.35">
      <c r="A6" s="1" t="s">
        <v>2</v>
      </c>
      <c r="B6" s="12">
        <f>F3/B5</f>
        <v>90.089189189189185</v>
      </c>
    </row>
  </sheetData>
  <mergeCells count="1">
    <mergeCell ref="A1:F2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250" zoomScaleNormal="250" workbookViewId="0">
      <selection activeCell="A9" sqref="A9"/>
    </sheetView>
  </sheetViews>
  <sheetFormatPr defaultRowHeight="14.5" x14ac:dyDescent="0.35"/>
  <cols>
    <col min="1" max="1" width="32" customWidth="1"/>
  </cols>
  <sheetData>
    <row r="1" spans="1:2" x14ac:dyDescent="0.35">
      <c r="A1" s="46" t="s">
        <v>5</v>
      </c>
      <c r="B1" s="2">
        <v>1000000</v>
      </c>
    </row>
    <row r="2" spans="1:2" x14ac:dyDescent="0.35">
      <c r="A2" s="47" t="s">
        <v>6</v>
      </c>
      <c r="B2" s="2">
        <v>500000</v>
      </c>
    </row>
    <row r="3" spans="1:2" x14ac:dyDescent="0.35">
      <c r="A3" s="48" t="s">
        <v>7</v>
      </c>
      <c r="B3" s="2">
        <v>200000</v>
      </c>
    </row>
    <row r="4" spans="1:2" x14ac:dyDescent="0.35">
      <c r="A4" s="49" t="s">
        <v>8</v>
      </c>
      <c r="B4" s="2">
        <v>280</v>
      </c>
    </row>
    <row r="5" spans="1:2" x14ac:dyDescent="0.35">
      <c r="A5" s="49" t="s">
        <v>9</v>
      </c>
      <c r="B5" s="2">
        <v>10000</v>
      </c>
    </row>
    <row r="6" spans="1:2" x14ac:dyDescent="0.35">
      <c r="A6" s="49" t="s">
        <v>10</v>
      </c>
      <c r="B6" s="2">
        <f>B1+B2+B3</f>
        <v>1700000</v>
      </c>
    </row>
    <row r="7" spans="1:2" x14ac:dyDescent="0.35">
      <c r="A7" s="46" t="s">
        <v>11</v>
      </c>
      <c r="B7" s="2">
        <f>B4*B5</f>
        <v>2800000</v>
      </c>
    </row>
    <row r="8" spans="1:2" x14ac:dyDescent="0.35">
      <c r="A8" s="48" t="s">
        <v>12</v>
      </c>
      <c r="B8" s="2">
        <f>B7-B6</f>
        <v>1100000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250" zoomScaleNormal="250" workbookViewId="0">
      <selection activeCell="C6" sqref="C6"/>
    </sheetView>
  </sheetViews>
  <sheetFormatPr defaultRowHeight="14.5" x14ac:dyDescent="0.35"/>
  <cols>
    <col min="2" max="2" width="15.453125" customWidth="1"/>
    <col min="3" max="3" width="17.1796875" customWidth="1"/>
  </cols>
  <sheetData>
    <row r="1" spans="1:3" x14ac:dyDescent="0.35">
      <c r="A1" s="3" t="s">
        <v>15</v>
      </c>
      <c r="B1" s="3" t="s">
        <v>13</v>
      </c>
      <c r="C1" s="3" t="s">
        <v>14</v>
      </c>
    </row>
    <row r="2" spans="1:3" x14ac:dyDescent="0.35">
      <c r="A2" s="5">
        <v>1</v>
      </c>
      <c r="B2" s="4" t="s">
        <v>19</v>
      </c>
      <c r="C2" s="4" t="s">
        <v>16</v>
      </c>
    </row>
    <row r="3" spans="1:3" x14ac:dyDescent="0.35">
      <c r="A3" s="5">
        <v>2</v>
      </c>
      <c r="B3" s="4" t="s">
        <v>20</v>
      </c>
      <c r="C3" s="4" t="s">
        <v>24</v>
      </c>
    </row>
    <row r="4" spans="1:3" x14ac:dyDescent="0.35">
      <c r="A4" s="5">
        <v>3</v>
      </c>
      <c r="B4" s="4" t="s">
        <v>21</v>
      </c>
      <c r="C4" s="4" t="s">
        <v>24</v>
      </c>
    </row>
    <row r="5" spans="1:3" x14ac:dyDescent="0.35">
      <c r="A5" s="5">
        <v>4</v>
      </c>
      <c r="B5" s="4" t="s">
        <v>22</v>
      </c>
      <c r="C5" s="4" t="s">
        <v>17</v>
      </c>
    </row>
    <row r="6" spans="1:3" x14ac:dyDescent="0.35">
      <c r="A6" s="5">
        <v>5</v>
      </c>
      <c r="B6" s="4" t="s">
        <v>23</v>
      </c>
      <c r="C6" s="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85" zoomScaleNormal="85" workbookViewId="0"/>
  </sheetViews>
  <sheetFormatPr defaultRowHeight="14.5" x14ac:dyDescent="0.35"/>
  <cols>
    <col min="1" max="1" width="22" customWidth="1"/>
    <col min="2" max="2" width="18.1796875" customWidth="1"/>
  </cols>
  <sheetData>
    <row r="1" spans="1:2" ht="27.75" customHeight="1" x14ac:dyDescent="0.35">
      <c r="A1" s="13" t="s">
        <v>39</v>
      </c>
      <c r="B1" s="13" t="s">
        <v>40</v>
      </c>
    </row>
    <row r="2" spans="1:2" ht="27.75" customHeight="1" x14ac:dyDescent="0.35">
      <c r="A2" s="14" t="s">
        <v>41</v>
      </c>
      <c r="B2" s="14">
        <v>30</v>
      </c>
    </row>
    <row r="3" spans="1:2" ht="27.75" customHeight="1" x14ac:dyDescent="0.35">
      <c r="A3" s="14" t="s">
        <v>42</v>
      </c>
      <c r="B3" s="14">
        <v>25</v>
      </c>
    </row>
    <row r="4" spans="1:2" ht="27.75" customHeight="1" x14ac:dyDescent="0.35">
      <c r="A4" s="14" t="s">
        <v>43</v>
      </c>
      <c r="B4" s="14">
        <v>2</v>
      </c>
    </row>
    <row r="5" spans="1:2" ht="27.75" customHeight="1" x14ac:dyDescent="0.35">
      <c r="A5" s="14" t="s">
        <v>44</v>
      </c>
      <c r="B5" s="14">
        <v>4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zoomScale="85" zoomScaleNormal="85" workbookViewId="0">
      <selection activeCell="C5" sqref="C5"/>
    </sheetView>
  </sheetViews>
  <sheetFormatPr defaultColWidth="9.1796875" defaultRowHeight="18" x14ac:dyDescent="0.35"/>
  <cols>
    <col min="1" max="1" width="23.81640625" style="15" customWidth="1"/>
    <col min="2" max="2" width="18.26953125" style="15" customWidth="1"/>
    <col min="3" max="9" width="9.1796875" style="15"/>
    <col min="10" max="11" width="18.7265625" style="15" customWidth="1"/>
    <col min="12" max="16384" width="9.1796875" style="15"/>
  </cols>
  <sheetData>
    <row r="1" spans="1:11" x14ac:dyDescent="0.35">
      <c r="J1" s="50" t="s">
        <v>52</v>
      </c>
      <c r="K1" s="15" t="s">
        <v>51</v>
      </c>
    </row>
    <row r="2" spans="1:11" x14ac:dyDescent="0.35">
      <c r="J2" s="15">
        <v>250</v>
      </c>
      <c r="K2" s="15">
        <v>800</v>
      </c>
    </row>
    <row r="3" spans="1:11" x14ac:dyDescent="0.35">
      <c r="A3" s="15" t="s">
        <v>45</v>
      </c>
      <c r="B3" s="15">
        <v>10000000</v>
      </c>
      <c r="J3" s="15">
        <v>300</v>
      </c>
      <c r="K3" s="15">
        <v>1300</v>
      </c>
    </row>
    <row r="4" spans="1:11" x14ac:dyDescent="0.35">
      <c r="A4" s="15" t="s">
        <v>46</v>
      </c>
      <c r="B4" s="15">
        <v>5000000</v>
      </c>
      <c r="J4" s="15">
        <v>350</v>
      </c>
      <c r="K4" s="15">
        <v>1800</v>
      </c>
    </row>
    <row r="5" spans="1:11" x14ac:dyDescent="0.35">
      <c r="A5" s="15" t="s">
        <v>47</v>
      </c>
      <c r="B5" s="15">
        <v>2000000</v>
      </c>
      <c r="J5" s="15">
        <v>400</v>
      </c>
      <c r="K5" s="15">
        <v>2300</v>
      </c>
    </row>
    <row r="9" spans="1:11" x14ac:dyDescent="0.35">
      <c r="A9" s="15" t="s">
        <v>52</v>
      </c>
      <c r="B9" s="15">
        <v>400</v>
      </c>
    </row>
    <row r="10" spans="1:11" x14ac:dyDescent="0.35">
      <c r="A10" s="15" t="s">
        <v>48</v>
      </c>
      <c r="B10" s="15">
        <v>100000</v>
      </c>
    </row>
    <row r="13" spans="1:11" x14ac:dyDescent="0.35">
      <c r="A13" s="15" t="s">
        <v>49</v>
      </c>
      <c r="B13" s="15">
        <f>B3+B4+B5</f>
        <v>17000000</v>
      </c>
    </row>
    <row r="14" spans="1:11" x14ac:dyDescent="0.35">
      <c r="A14" s="15" t="s">
        <v>50</v>
      </c>
      <c r="B14" s="15">
        <f>B9*B10</f>
        <v>40000000</v>
      </c>
    </row>
    <row r="15" spans="1:11" x14ac:dyDescent="0.35">
      <c r="A15" s="15" t="s">
        <v>51</v>
      </c>
      <c r="B15" s="15">
        <f>B14-B13</f>
        <v>23000000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opLeftCell="A4" zoomScale="160" zoomScaleNormal="160" workbookViewId="0">
      <selection activeCell="C20" sqref="C20"/>
    </sheetView>
  </sheetViews>
  <sheetFormatPr defaultColWidth="8.81640625" defaultRowHeight="18" x14ac:dyDescent="0.4"/>
  <cols>
    <col min="1" max="1" width="17.1796875" style="21" customWidth="1"/>
    <col min="2" max="6" width="13" style="21" customWidth="1"/>
    <col min="7" max="16384" width="8.81640625" style="21"/>
  </cols>
  <sheetData>
    <row r="1" spans="1:6" ht="42.75" customHeight="1" x14ac:dyDescent="0.4">
      <c r="A1" s="10" t="s">
        <v>37</v>
      </c>
      <c r="B1" s="10" t="s">
        <v>35</v>
      </c>
      <c r="C1" s="10" t="s">
        <v>36</v>
      </c>
      <c r="D1" s="40" t="s">
        <v>31</v>
      </c>
      <c r="E1" s="41"/>
      <c r="F1" s="10" t="s">
        <v>38</v>
      </c>
    </row>
    <row r="2" spans="1:6" x14ac:dyDescent="0.4">
      <c r="A2" s="10" t="s">
        <v>26</v>
      </c>
      <c r="B2" s="8">
        <v>3800</v>
      </c>
      <c r="C2" s="8">
        <v>1000</v>
      </c>
      <c r="D2" s="8">
        <v>200</v>
      </c>
      <c r="E2" s="9">
        <f>B2/C2*D2</f>
        <v>760</v>
      </c>
      <c r="F2" s="8">
        <f>E2/20</f>
        <v>38</v>
      </c>
    </row>
    <row r="3" spans="1:6" x14ac:dyDescent="0.4">
      <c r="A3" s="10" t="s">
        <v>28</v>
      </c>
      <c r="B3" s="8">
        <v>6000</v>
      </c>
      <c r="C3" s="8">
        <v>200</v>
      </c>
      <c r="D3" s="8">
        <v>50</v>
      </c>
      <c r="E3" s="9">
        <f>B3/C3*D3</f>
        <v>1500</v>
      </c>
      <c r="F3" s="8">
        <f>E3/20</f>
        <v>75</v>
      </c>
    </row>
    <row r="4" spans="1:6" x14ac:dyDescent="0.4">
      <c r="A4" s="10" t="s">
        <v>27</v>
      </c>
      <c r="B4" s="8">
        <v>5800</v>
      </c>
      <c r="C4" s="8">
        <v>1000</v>
      </c>
      <c r="D4" s="8">
        <v>200</v>
      </c>
      <c r="E4" s="9">
        <f>B4/C4*D4</f>
        <v>1160</v>
      </c>
      <c r="F4" s="8">
        <f>E4/20</f>
        <v>58</v>
      </c>
    </row>
    <row r="5" spans="1:6" x14ac:dyDescent="0.4">
      <c r="A5" s="10" t="s">
        <v>29</v>
      </c>
      <c r="B5" s="8">
        <v>6800</v>
      </c>
      <c r="C5" s="8">
        <v>1000</v>
      </c>
      <c r="D5" s="8">
        <v>200</v>
      </c>
      <c r="E5" s="9">
        <f>B5/C5*D5</f>
        <v>1360</v>
      </c>
      <c r="F5" s="8">
        <f>E5/20</f>
        <v>68</v>
      </c>
    </row>
    <row r="6" spans="1:6" x14ac:dyDescent="0.4">
      <c r="A6" s="10" t="s">
        <v>30</v>
      </c>
      <c r="B6" s="8">
        <v>17000</v>
      </c>
      <c r="C6" s="8">
        <v>12</v>
      </c>
      <c r="D6" s="8">
        <v>2</v>
      </c>
      <c r="E6" s="19">
        <f>B6/C6*D6</f>
        <v>2833.3333333333335</v>
      </c>
      <c r="F6" s="8">
        <f>E6/20</f>
        <v>141.66666666666669</v>
      </c>
    </row>
    <row r="7" spans="1:6" ht="35" x14ac:dyDescent="0.4">
      <c r="A7" s="10"/>
      <c r="B7" s="8"/>
      <c r="C7" s="17"/>
      <c r="D7" s="18"/>
      <c r="E7" s="20" t="s">
        <v>53</v>
      </c>
      <c r="F7" s="8">
        <f>SUM(F2:F6)</f>
        <v>380.66666666666669</v>
      </c>
    </row>
    <row r="8" spans="1:6" x14ac:dyDescent="0.4">
      <c r="A8" s="11" t="s">
        <v>32</v>
      </c>
      <c r="B8" s="16">
        <f>F7</f>
        <v>380.66666666666669</v>
      </c>
      <c r="C8" s="8" t="s">
        <v>54</v>
      </c>
      <c r="D8" s="22" t="s">
        <v>55</v>
      </c>
    </row>
    <row r="9" spans="1:6" x14ac:dyDescent="0.4">
      <c r="A9" s="11" t="s">
        <v>33</v>
      </c>
      <c r="B9" s="16">
        <v>500</v>
      </c>
      <c r="C9" s="8">
        <v>500</v>
      </c>
      <c r="D9" s="8">
        <v>500</v>
      </c>
    </row>
    <row r="10" spans="1:6" x14ac:dyDescent="0.4">
      <c r="A10" s="11" t="s">
        <v>34</v>
      </c>
      <c r="B10" s="16">
        <f>B9-B8</f>
        <v>119.33333333333331</v>
      </c>
      <c r="C10" s="8">
        <f>C9*100</f>
        <v>50000</v>
      </c>
      <c r="D10" s="8">
        <f>D9*5000</f>
        <v>2500000</v>
      </c>
    </row>
    <row r="11" spans="1:6" x14ac:dyDescent="0.4">
      <c r="C11" s="8">
        <f>100*120</f>
        <v>12000</v>
      </c>
      <c r="D11" s="8">
        <f>5000*120</f>
        <v>600000</v>
      </c>
    </row>
    <row r="12" spans="1:6" x14ac:dyDescent="0.4">
      <c r="D12" s="42"/>
      <c r="E12" s="42"/>
    </row>
    <row r="13" spans="1:6" x14ac:dyDescent="0.4">
      <c r="D13" s="42"/>
      <c r="E13" s="42"/>
    </row>
    <row r="14" spans="1:6" x14ac:dyDescent="0.4">
      <c r="D14" s="42"/>
      <c r="E14" s="42"/>
    </row>
    <row r="15" spans="1:6" x14ac:dyDescent="0.4">
      <c r="D15" s="42"/>
      <c r="E15" s="42"/>
    </row>
  </sheetData>
  <mergeCells count="5">
    <mergeCell ref="D1:E1"/>
    <mergeCell ref="D12:E12"/>
    <mergeCell ref="D13:E13"/>
    <mergeCell ref="D14:E14"/>
    <mergeCell ref="D15:E15"/>
  </mergeCells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130" zoomScaleNormal="130" workbookViewId="0">
      <selection activeCell="D13" sqref="D13"/>
    </sheetView>
  </sheetViews>
  <sheetFormatPr defaultRowHeight="14.5" x14ac:dyDescent="0.35"/>
  <cols>
    <col min="1" max="1" width="19.1796875" customWidth="1"/>
    <col min="2" max="8" width="14.453125" customWidth="1"/>
  </cols>
  <sheetData>
    <row r="1" spans="1:8" ht="18" x14ac:dyDescent="0.35">
      <c r="A1" s="44" t="s">
        <v>60</v>
      </c>
      <c r="B1" s="45"/>
      <c r="C1" s="45"/>
      <c r="D1" s="23" t="s">
        <v>61</v>
      </c>
      <c r="E1" s="24" t="s">
        <v>62</v>
      </c>
      <c r="F1" s="24" t="s">
        <v>64</v>
      </c>
      <c r="G1" s="25"/>
      <c r="H1" s="25"/>
    </row>
    <row r="2" spans="1:8" ht="18" x14ac:dyDescent="0.35">
      <c r="A2" s="14" t="s">
        <v>56</v>
      </c>
      <c r="B2" s="14">
        <v>2</v>
      </c>
      <c r="C2" s="14">
        <v>430000</v>
      </c>
      <c r="D2" s="14">
        <f>B2*C2</f>
        <v>860000</v>
      </c>
      <c r="E2" s="14">
        <f>D2/7*10</f>
        <v>1228571.4285714286</v>
      </c>
      <c r="F2" s="14">
        <f>D2*2</f>
        <v>1720000</v>
      </c>
      <c r="G2" s="25"/>
      <c r="H2" s="25"/>
    </row>
    <row r="3" spans="1:8" ht="18" x14ac:dyDescent="0.35">
      <c r="A3" s="14" t="s">
        <v>57</v>
      </c>
      <c r="B3" s="14">
        <v>4</v>
      </c>
      <c r="C3" s="14">
        <v>350000</v>
      </c>
      <c r="D3" s="14">
        <f>B3*C3</f>
        <v>1400000</v>
      </c>
      <c r="E3" s="14">
        <f>D3/7*10</f>
        <v>2000000</v>
      </c>
      <c r="F3" s="14">
        <f>D3*2</f>
        <v>2800000</v>
      </c>
      <c r="G3" s="25"/>
      <c r="H3" s="25"/>
    </row>
    <row r="4" spans="1:8" ht="18" x14ac:dyDescent="0.35">
      <c r="A4" s="14"/>
      <c r="B4" s="14"/>
      <c r="C4" s="14"/>
      <c r="D4" s="14">
        <f>D2+D3</f>
        <v>2260000</v>
      </c>
      <c r="E4" s="14">
        <f>D4/7*10</f>
        <v>3228571.4285714282</v>
      </c>
      <c r="F4" s="14">
        <f>D4*2</f>
        <v>4520000</v>
      </c>
      <c r="G4" s="25"/>
      <c r="H4" s="25"/>
    </row>
    <row r="5" spans="1:8" ht="18" x14ac:dyDescent="0.35">
      <c r="A5" s="43" t="s">
        <v>58</v>
      </c>
      <c r="B5" s="43"/>
      <c r="C5" s="43"/>
      <c r="D5" s="43"/>
      <c r="E5" s="23" t="s">
        <v>63</v>
      </c>
      <c r="F5" s="23" t="s">
        <v>61</v>
      </c>
      <c r="G5" s="24" t="s">
        <v>62</v>
      </c>
      <c r="H5" s="24" t="s">
        <v>64</v>
      </c>
    </row>
    <row r="6" spans="1:8" ht="18" x14ac:dyDescent="0.35">
      <c r="A6" s="14" t="s">
        <v>56</v>
      </c>
      <c r="B6" s="14">
        <v>2</v>
      </c>
      <c r="C6" s="14">
        <v>80000</v>
      </c>
      <c r="D6" s="14">
        <v>30000</v>
      </c>
      <c r="E6" s="14">
        <f>B6*(C6+D6)</f>
        <v>220000</v>
      </c>
      <c r="F6" s="14">
        <f>E6*7</f>
        <v>1540000</v>
      </c>
      <c r="G6" s="14">
        <f>E6*10</f>
        <v>2200000</v>
      </c>
      <c r="H6" s="14">
        <f>E6*14</f>
        <v>3080000</v>
      </c>
    </row>
    <row r="7" spans="1:8" ht="18" x14ac:dyDescent="0.35">
      <c r="A7" s="14" t="s">
        <v>57</v>
      </c>
      <c r="B7" s="14">
        <v>4</v>
      </c>
      <c r="C7" s="14">
        <v>70000</v>
      </c>
      <c r="D7" s="14">
        <v>25000</v>
      </c>
      <c r="E7" s="14">
        <f>B7*(C7+D7)</f>
        <v>380000</v>
      </c>
      <c r="F7" s="14">
        <f>E7*7</f>
        <v>2660000</v>
      </c>
      <c r="G7" s="14">
        <f>E7*10</f>
        <v>3800000</v>
      </c>
      <c r="H7" s="14">
        <f>E7*14</f>
        <v>5320000</v>
      </c>
    </row>
    <row r="8" spans="1:8" ht="18" x14ac:dyDescent="0.35">
      <c r="A8" s="14"/>
      <c r="B8" s="14"/>
      <c r="C8" s="14"/>
      <c r="D8" s="14"/>
      <c r="E8" s="14">
        <f>E6+E7</f>
        <v>600000</v>
      </c>
      <c r="F8" s="14">
        <f>E8*7</f>
        <v>4200000</v>
      </c>
      <c r="G8" s="14">
        <f>E8*10</f>
        <v>6000000</v>
      </c>
      <c r="H8" s="14">
        <f>E8*14</f>
        <v>8400000</v>
      </c>
    </row>
    <row r="9" spans="1:8" ht="18" x14ac:dyDescent="0.35">
      <c r="A9" s="14"/>
      <c r="B9" s="14"/>
      <c r="C9" s="14"/>
      <c r="D9" s="14"/>
      <c r="E9" s="14"/>
      <c r="F9" s="14"/>
      <c r="G9" s="14"/>
      <c r="H9" s="14"/>
    </row>
    <row r="10" spans="1:8" ht="18" x14ac:dyDescent="0.35">
      <c r="A10" s="43" t="s">
        <v>59</v>
      </c>
      <c r="B10" s="43"/>
      <c r="C10" s="43"/>
      <c r="D10" s="43"/>
      <c r="E10" s="23" t="s">
        <v>63</v>
      </c>
      <c r="F10" s="23" t="s">
        <v>61</v>
      </c>
      <c r="G10" s="24" t="s">
        <v>62</v>
      </c>
      <c r="H10" s="24" t="s">
        <v>64</v>
      </c>
    </row>
    <row r="11" spans="1:8" ht="18" x14ac:dyDescent="0.35">
      <c r="A11" s="14" t="s">
        <v>56</v>
      </c>
      <c r="B11" s="14">
        <v>2</v>
      </c>
      <c r="C11" s="14">
        <v>180000</v>
      </c>
      <c r="D11" s="14">
        <v>50000</v>
      </c>
      <c r="E11" s="14">
        <f>B11*(C11+D11)</f>
        <v>460000</v>
      </c>
      <c r="F11" s="14">
        <f>E11*7</f>
        <v>3220000</v>
      </c>
      <c r="G11" s="14">
        <f>E11*10</f>
        <v>4600000</v>
      </c>
      <c r="H11" s="14">
        <f>E11*14</f>
        <v>6440000</v>
      </c>
    </row>
    <row r="12" spans="1:8" ht="18" x14ac:dyDescent="0.35">
      <c r="A12" s="14" t="s">
        <v>57</v>
      </c>
      <c r="B12" s="14">
        <v>4</v>
      </c>
      <c r="C12" s="14">
        <v>140000</v>
      </c>
      <c r="D12" s="14">
        <v>30000</v>
      </c>
      <c r="E12" s="14">
        <f>B12*(C12+D12)</f>
        <v>680000</v>
      </c>
      <c r="F12" s="14">
        <f>E12*7</f>
        <v>4760000</v>
      </c>
      <c r="G12" s="14">
        <f>E12*10</f>
        <v>6800000</v>
      </c>
      <c r="H12" s="14">
        <f>E12*14</f>
        <v>9520000</v>
      </c>
    </row>
    <row r="13" spans="1:8" ht="18" x14ac:dyDescent="0.35">
      <c r="A13" s="14"/>
      <c r="B13" s="14"/>
      <c r="C13" s="14"/>
      <c r="D13" s="14"/>
      <c r="E13" s="14">
        <f>E11+E12</f>
        <v>1140000</v>
      </c>
      <c r="F13" s="14">
        <f>E13*7</f>
        <v>7980000</v>
      </c>
      <c r="G13" s="14">
        <f>E13*10</f>
        <v>11400000</v>
      </c>
      <c r="H13" s="14">
        <f>E13*14</f>
        <v>15960000</v>
      </c>
    </row>
  </sheetData>
  <mergeCells count="3">
    <mergeCell ref="A5:D5"/>
    <mergeCell ref="A10:D10"/>
    <mergeCell ref="A1:C1"/>
  </mergeCells>
  <conditionalFormatting sqref="D4:F4">
    <cfRule type="cellIs" dxfId="3" priority="3" stopIfTrue="1" operator="lessThan">
      <formula>3390000</formula>
    </cfRule>
    <cfRule type="cellIs" dxfId="2" priority="4" stopIfTrue="1" operator="lessThan">
      <formula>10000000</formula>
    </cfRule>
  </conditionalFormatting>
  <conditionalFormatting sqref="E8:H8">
    <cfRule type="cellIs" dxfId="1" priority="2" stopIfTrue="1" operator="lessThan">
      <formula>10000000</formula>
    </cfRule>
  </conditionalFormatting>
  <conditionalFormatting sqref="E13:H13">
    <cfRule type="cellIs" dxfId="0" priority="1" stopIfTrue="1" operator="lessThan">
      <formula>10000000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1-mashg'ulot</vt:lpstr>
      <vt:lpstr>O'yin konsoli</vt:lpstr>
      <vt:lpstr>Sovrinlar</vt:lpstr>
      <vt:lpstr>Qiziqadigan fan</vt:lpstr>
      <vt:lpstr>23-dars</vt:lpstr>
      <vt:lpstr>9-1-mashg'ulot</vt:lpstr>
      <vt:lpstr>Keks</vt:lpstr>
      <vt:lpstr>Ta'til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 Windows</cp:lastModifiedBy>
  <dcterms:created xsi:type="dcterms:W3CDTF">2026-01-13T05:37:16Z</dcterms:created>
  <dcterms:modified xsi:type="dcterms:W3CDTF">2026-02-28T18:02:31Z</dcterms:modified>
</cp:coreProperties>
</file>