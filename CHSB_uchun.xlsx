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0" yWindow="150" windowWidth="8580" windowHeight="689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AB39" i="1" l="1"/>
  <c r="AC39" i="1" s="1"/>
  <c r="AD39" i="1" s="1"/>
  <c r="AB38" i="1"/>
  <c r="AC38" i="1" s="1"/>
  <c r="AD38" i="1" s="1"/>
  <c r="AB37" i="1"/>
  <c r="AC37" i="1" s="1"/>
  <c r="AD37" i="1" s="1"/>
  <c r="AC36" i="1"/>
  <c r="AD36" i="1" s="1"/>
  <c r="AB36" i="1"/>
  <c r="AB35" i="1"/>
  <c r="AC35" i="1" s="1"/>
  <c r="AD35" i="1" s="1"/>
  <c r="AB34" i="1"/>
  <c r="AC34" i="1" s="1"/>
  <c r="AD34" i="1" s="1"/>
  <c r="AB33" i="1"/>
  <c r="AC33" i="1" s="1"/>
  <c r="AD33" i="1" s="1"/>
  <c r="AC32" i="1"/>
  <c r="AD32" i="1" s="1"/>
  <c r="AB32" i="1"/>
  <c r="AB31" i="1"/>
  <c r="AC31" i="1" s="1"/>
  <c r="AD31" i="1" s="1"/>
  <c r="AB30" i="1"/>
  <c r="AC30" i="1" s="1"/>
  <c r="AD30" i="1" s="1"/>
  <c r="AB29" i="1"/>
  <c r="AC29" i="1" s="1"/>
  <c r="AD29" i="1" s="1"/>
  <c r="AC28" i="1"/>
  <c r="AD28" i="1" s="1"/>
  <c r="AB28" i="1"/>
  <c r="AB27" i="1"/>
  <c r="AC27" i="1" s="1"/>
  <c r="AD27" i="1" s="1"/>
  <c r="AB26" i="1"/>
  <c r="AC26" i="1" s="1"/>
  <c r="AD26" i="1" s="1"/>
  <c r="AB25" i="1"/>
  <c r="AC25" i="1" s="1"/>
  <c r="AD25" i="1" s="1"/>
  <c r="AC24" i="1"/>
  <c r="AD24" i="1" s="1"/>
  <c r="AB24" i="1"/>
  <c r="AB23" i="1"/>
  <c r="AC23" i="1" s="1"/>
  <c r="AD23" i="1" s="1"/>
  <c r="AB22" i="1"/>
  <c r="AC22" i="1" s="1"/>
  <c r="AD22" i="1" s="1"/>
  <c r="AB21" i="1"/>
  <c r="AC21" i="1" s="1"/>
  <c r="AD21" i="1" s="1"/>
  <c r="AB20" i="1"/>
  <c r="AC20" i="1" s="1"/>
  <c r="AD20" i="1" s="1"/>
  <c r="AB19" i="1"/>
  <c r="AC19" i="1" s="1"/>
  <c r="AD19" i="1" s="1"/>
  <c r="AB18" i="1"/>
  <c r="AC18" i="1" s="1"/>
  <c r="AD18" i="1" s="1"/>
  <c r="AB17" i="1"/>
  <c r="AC17" i="1" s="1"/>
  <c r="AD17" i="1" s="1"/>
  <c r="AC16" i="1"/>
  <c r="AD16" i="1" s="1"/>
  <c r="AB16" i="1"/>
  <c r="AB15" i="1"/>
  <c r="AC15" i="1" s="1"/>
  <c r="AD15" i="1" s="1"/>
  <c r="AB14" i="1"/>
  <c r="AC14" i="1" s="1"/>
  <c r="AD14" i="1" s="1"/>
  <c r="AB13" i="1"/>
  <c r="AC13" i="1" s="1"/>
  <c r="AD13" i="1" s="1"/>
  <c r="AB12" i="1"/>
  <c r="AC12" i="1" s="1"/>
  <c r="AD12" i="1" s="1"/>
  <c r="AB11" i="1"/>
  <c r="AC11" i="1" s="1"/>
  <c r="AD11" i="1" s="1"/>
  <c r="AB10" i="1"/>
  <c r="AC10" i="1" s="1"/>
  <c r="AD10" i="1" s="1"/>
  <c r="AB9" i="1"/>
  <c r="AC9" i="1" s="1"/>
  <c r="AD9" i="1" s="1"/>
  <c r="AC8" i="1"/>
  <c r="AD8" i="1" s="1"/>
  <c r="AB8" i="1"/>
  <c r="AB7" i="1"/>
  <c r="AC7" i="1" s="1"/>
  <c r="AD7" i="1" s="1"/>
  <c r="AB6" i="1"/>
  <c r="AC6" i="1" s="1"/>
  <c r="AD6" i="1" s="1"/>
  <c r="AB5" i="1"/>
  <c r="AC5" i="1" s="1"/>
  <c r="AD5" i="1" s="1"/>
  <c r="AB4" i="1"/>
  <c r="AC4" i="1" s="1"/>
  <c r="AD4" i="1" s="1"/>
  <c r="A43" i="1" l="1"/>
  <c r="A44" i="1"/>
  <c r="A42" i="1"/>
  <c r="AB40" i="1"/>
  <c r="AC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D47" i="1"/>
  <c r="AD46" i="1"/>
  <c r="AD45" i="1"/>
  <c r="AD44" i="1"/>
  <c r="A1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D41" i="1" l="1"/>
  <c r="AD43" i="1" s="1"/>
  <c r="AD42" i="1" l="1"/>
</calcChain>
</file>

<file path=xl/sharedStrings.xml><?xml version="1.0" encoding="utf-8"?>
<sst xmlns="http://schemas.openxmlformats.org/spreadsheetml/2006/main" count="23" uniqueCount="22">
  <si>
    <t>O'quvchilarning ismi-sharifi</t>
  </si>
  <si>
    <t>Jami ball</t>
  </si>
  <si>
    <t>Bahosi</t>
  </si>
  <si>
    <t>Foiz</t>
  </si>
  <si>
    <t>O'rtacha ball</t>
  </si>
  <si>
    <t>Metod  birlashma rahbari</t>
  </si>
  <si>
    <t>O'IBDO':</t>
  </si>
  <si>
    <t>Sinf</t>
  </si>
  <si>
    <t>Fan</t>
  </si>
  <si>
    <t>Chorak</t>
  </si>
  <si>
    <t>CHSB tartibi</t>
  </si>
  <si>
    <t>Fan o'qituvchi</t>
  </si>
  <si>
    <t>Topshiriqlar soni</t>
  </si>
  <si>
    <t>Maksimal ball</t>
  </si>
  <si>
    <t>IX</t>
  </si>
  <si>
    <t>Informatika va AT</t>
  </si>
  <si>
    <t>II</t>
  </si>
  <si>
    <t>O. Sultanov</t>
  </si>
  <si>
    <t>S. Seyitova</t>
  </si>
  <si>
    <t>O'zlashtirish:</t>
  </si>
  <si>
    <t>Samaradorlik: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</si>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</sst>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6.5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9" fontId="6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Лист1!$AB$4:$AB$39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697792"/>
        <c:axId val="225699328"/>
      </c:barChart>
      <c:catAx>
        <c:axId val="2256977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5699328"/>
        <c:crosses val="autoZero"/>
        <c:auto val="1"/>
        <c:lblAlgn val="ctr"/>
        <c:lblOffset val="100"/>
        <c:noMultiLvlLbl val="0"/>
      </c:catAx>
      <c:valAx>
        <c:axId val="22569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697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17318</xdr:colOff>
      <xdr:row>44</xdr:row>
      <xdr:rowOff>190500</xdr:rowOff>
    </xdr:from>
    <xdr:to>
      <xdr:col>24</xdr:col>
      <xdr:colOff>277091</xdr:colOff>
      <xdr:row>57</xdr:row>
      <xdr:rowOff>121228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7"/>
  <sheetViews>
    <sheetView tabSelected="1" topLeftCell="K1" zoomScaleNormal="100" workbookViewId="0">
      <selection activeCell="AF11" sqref="AF11"/>
    </sheetView>
  </sheetViews>
  <sheetFormatPr defaultColWidth="8.81640625" defaultRowHeight="15.5" x14ac:dyDescent="0.35"/>
  <cols>
    <col min="1" max="1" width="8.81640625" style="6"/>
    <col min="2" max="2" width="32.7265625" style="6" customWidth="1"/>
    <col min="3" max="27" width="4.26953125" style="6" customWidth="1"/>
    <col min="28" max="28" width="8.81640625" style="6"/>
    <col min="29" max="29" width="10.54296875" style="6" bestFit="1" customWidth="1"/>
    <col min="30" max="32" width="8.81640625" style="6"/>
    <col min="33" max="33" width="34.7265625" style="6" customWidth="1"/>
    <col min="34" max="34" width="21.453125" style="6" customWidth="1"/>
    <col min="35" max="35" width="6.1796875" style="6" customWidth="1"/>
    <col min="36" max="59" width="6" style="6" customWidth="1"/>
    <col min="60" max="16384" width="8.81640625" style="6"/>
  </cols>
  <sheetData>
    <row r="1" spans="1:59" ht="28.9" customHeight="1" x14ac:dyDescent="0.35">
      <c r="A1" s="18" t="str">
        <f>CONCATENATE("Amudaryo tumani 22-sonli umumiy o'rta ta'lim maktabi ",AH2,"-sinf o'quvchilarining ", AH3,"  fanidan o'tkazilgan ", AH4,"-chorak  ", AH5,"- CHSB  tahlili")</f>
        <v>Amudaryo tumani 22-sonli umumiy o'rta ta'lim maktabi IX-sinf o'quvchilarining Informatika va AT  fanidan o'tkazilgan II-chorak  2- CHSB  tahlili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59" ht="18" x14ac:dyDescent="0.35">
      <c r="A2" s="21" t="s">
        <v>21</v>
      </c>
      <c r="B2" s="21" t="s">
        <v>0</v>
      </c>
      <c r="C2" s="23">
        <v>1</v>
      </c>
      <c r="D2" s="23">
        <v>2</v>
      </c>
      <c r="E2" s="23">
        <v>3</v>
      </c>
      <c r="F2" s="23">
        <v>4</v>
      </c>
      <c r="G2" s="23">
        <v>5</v>
      </c>
      <c r="H2" s="23">
        <v>6</v>
      </c>
      <c r="I2" s="23">
        <v>7</v>
      </c>
      <c r="J2" s="23">
        <v>8</v>
      </c>
      <c r="K2" s="23">
        <v>9</v>
      </c>
      <c r="L2" s="23">
        <v>10</v>
      </c>
      <c r="M2" s="23">
        <v>11</v>
      </c>
      <c r="N2" s="23">
        <v>12</v>
      </c>
      <c r="O2" s="23">
        <v>13</v>
      </c>
      <c r="P2" s="23">
        <v>14</v>
      </c>
      <c r="Q2" s="23">
        <v>15</v>
      </c>
      <c r="R2" s="23">
        <v>16</v>
      </c>
      <c r="S2" s="23">
        <v>17</v>
      </c>
      <c r="T2" s="23">
        <v>18</v>
      </c>
      <c r="U2" s="23">
        <v>19</v>
      </c>
      <c r="V2" s="23">
        <v>20</v>
      </c>
      <c r="W2" s="23">
        <v>21</v>
      </c>
      <c r="X2" s="23">
        <v>22</v>
      </c>
      <c r="Y2" s="23">
        <v>23</v>
      </c>
      <c r="Z2" s="23">
        <v>24</v>
      </c>
      <c r="AA2" s="23">
        <v>25</v>
      </c>
      <c r="AB2" s="23" t="s">
        <v>1</v>
      </c>
      <c r="AC2" s="21" t="s">
        <v>3</v>
      </c>
      <c r="AD2" s="21" t="s">
        <v>2</v>
      </c>
      <c r="AG2" s="24" t="s">
        <v>7</v>
      </c>
      <c r="AH2" s="8" t="s">
        <v>14</v>
      </c>
    </row>
    <row r="3" spans="1:59" ht="18" x14ac:dyDescent="0.35">
      <c r="A3" s="22"/>
      <c r="B3" s="22"/>
      <c r="C3" s="7">
        <f>AI10</f>
        <v>2.4</v>
      </c>
      <c r="D3" s="7">
        <f t="shared" ref="D3:AA3" si="0">AJ10</f>
        <v>2.4</v>
      </c>
      <c r="E3" s="7">
        <f t="shared" si="0"/>
        <v>2</v>
      </c>
      <c r="F3" s="7">
        <f t="shared" si="0"/>
        <v>5</v>
      </c>
      <c r="G3" s="7">
        <f t="shared" si="0"/>
        <v>2.4</v>
      </c>
      <c r="H3" s="7">
        <f t="shared" si="0"/>
        <v>2.4</v>
      </c>
      <c r="I3" s="7">
        <f t="shared" si="0"/>
        <v>2.4</v>
      </c>
      <c r="J3" s="7">
        <f t="shared" si="0"/>
        <v>2.4</v>
      </c>
      <c r="K3" s="7">
        <f t="shared" si="0"/>
        <v>2.4</v>
      </c>
      <c r="L3" s="7">
        <f t="shared" si="0"/>
        <v>2.4</v>
      </c>
      <c r="M3" s="7">
        <f t="shared" si="0"/>
        <v>2.4</v>
      </c>
      <c r="N3" s="7">
        <f t="shared" si="0"/>
        <v>2</v>
      </c>
      <c r="O3" s="7">
        <f t="shared" si="0"/>
        <v>2</v>
      </c>
      <c r="P3" s="7">
        <f t="shared" si="0"/>
        <v>2.4</v>
      </c>
      <c r="Q3" s="7">
        <f t="shared" si="0"/>
        <v>5</v>
      </c>
      <c r="R3" s="7">
        <f t="shared" si="0"/>
        <v>0</v>
      </c>
      <c r="S3" s="7">
        <f t="shared" si="0"/>
        <v>0</v>
      </c>
      <c r="T3" s="7">
        <f t="shared" si="0"/>
        <v>0</v>
      </c>
      <c r="U3" s="7">
        <f t="shared" si="0"/>
        <v>0</v>
      </c>
      <c r="V3" s="7">
        <f t="shared" si="0"/>
        <v>0</v>
      </c>
      <c r="W3" s="7">
        <f t="shared" si="0"/>
        <v>0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0</v>
      </c>
      <c r="AB3" s="7">
        <f>AH10</f>
        <v>40</v>
      </c>
      <c r="AC3" s="22"/>
      <c r="AD3" s="22"/>
      <c r="AG3" s="24" t="s">
        <v>8</v>
      </c>
      <c r="AH3" s="8" t="s">
        <v>15</v>
      </c>
    </row>
    <row r="4" spans="1:59" ht="21" x14ac:dyDescent="0.35">
      <c r="A4" s="7">
        <v>1</v>
      </c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7"/>
      <c r="S4" s="7"/>
      <c r="T4" s="7"/>
      <c r="U4" s="7"/>
      <c r="V4" s="7"/>
      <c r="W4" s="7"/>
      <c r="X4" s="7"/>
      <c r="Y4" s="7"/>
      <c r="Z4" s="7"/>
      <c r="AA4" s="7"/>
      <c r="AB4" s="15">
        <f>SUM(C4:AA4)</f>
        <v>0</v>
      </c>
      <c r="AC4" s="16">
        <f>AB4/AH$10</f>
        <v>0</v>
      </c>
      <c r="AD4" s="16" t="str">
        <f>IF(AC4&gt;=86%,"5",IF(AC4&gt;=66%,"4",IF(AC4&gt;=30%,"3","2")))</f>
        <v>2</v>
      </c>
      <c r="AG4" s="24" t="s">
        <v>9</v>
      </c>
      <c r="AH4" s="8" t="s">
        <v>16</v>
      </c>
    </row>
    <row r="5" spans="1:59" ht="21" x14ac:dyDescent="0.35">
      <c r="A5" s="7">
        <v>2</v>
      </c>
      <c r="B5" s="1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7"/>
      <c r="T5" s="7"/>
      <c r="U5" s="7"/>
      <c r="V5" s="7"/>
      <c r="W5" s="7"/>
      <c r="X5" s="7"/>
      <c r="Y5" s="7"/>
      <c r="Z5" s="7"/>
      <c r="AA5" s="7"/>
      <c r="AB5" s="15">
        <f t="shared" ref="AB5:AB39" si="1">SUM(C5:AA5)</f>
        <v>0</v>
      </c>
      <c r="AC5" s="16">
        <f t="shared" ref="AC5:AC39" si="2">AB5/AH$10</f>
        <v>0</v>
      </c>
      <c r="AD5" s="16" t="str">
        <f t="shared" ref="AD5:AD39" si="3">IF(AC5&gt;=86%,"5",IF(AC5&gt;=66%,"4",IF(AC5&gt;=30%,"3","2")))</f>
        <v>2</v>
      </c>
      <c r="AG5" s="24" t="s">
        <v>10</v>
      </c>
      <c r="AH5" s="8">
        <v>2</v>
      </c>
    </row>
    <row r="6" spans="1:59" ht="21" x14ac:dyDescent="0.35">
      <c r="A6" s="7">
        <v>3</v>
      </c>
      <c r="B6" s="1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7"/>
      <c r="T6" s="7"/>
      <c r="U6" s="7"/>
      <c r="V6" s="7"/>
      <c r="W6" s="7"/>
      <c r="X6" s="7"/>
      <c r="Y6" s="7"/>
      <c r="Z6" s="7"/>
      <c r="AA6" s="7"/>
      <c r="AB6" s="15">
        <f t="shared" si="1"/>
        <v>0</v>
      </c>
      <c r="AC6" s="16">
        <f t="shared" si="2"/>
        <v>0</v>
      </c>
      <c r="AD6" s="16" t="str">
        <f t="shared" si="3"/>
        <v>2</v>
      </c>
      <c r="AG6" s="24" t="s">
        <v>6</v>
      </c>
      <c r="AH6" s="8" t="s">
        <v>17</v>
      </c>
    </row>
    <row r="7" spans="1:59" ht="21" x14ac:dyDescent="0.35">
      <c r="A7" s="7">
        <v>4</v>
      </c>
      <c r="B7" s="1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7"/>
      <c r="S7" s="7"/>
      <c r="T7" s="7"/>
      <c r="U7" s="7"/>
      <c r="V7" s="7"/>
      <c r="W7" s="7"/>
      <c r="X7" s="7"/>
      <c r="Y7" s="7"/>
      <c r="Z7" s="7"/>
      <c r="AA7" s="7"/>
      <c r="AB7" s="15">
        <f t="shared" si="1"/>
        <v>0</v>
      </c>
      <c r="AC7" s="16">
        <f t="shared" si="2"/>
        <v>0</v>
      </c>
      <c r="AD7" s="16" t="str">
        <f t="shared" si="3"/>
        <v>2</v>
      </c>
      <c r="AG7" s="24" t="s">
        <v>5</v>
      </c>
      <c r="AH7" s="8" t="s">
        <v>18</v>
      </c>
    </row>
    <row r="8" spans="1:59" ht="21" x14ac:dyDescent="0.35">
      <c r="A8" s="7">
        <v>5</v>
      </c>
      <c r="B8" s="1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7"/>
      <c r="T8" s="7"/>
      <c r="U8" s="7"/>
      <c r="V8" s="7"/>
      <c r="W8" s="7"/>
      <c r="X8" s="7"/>
      <c r="Y8" s="7"/>
      <c r="Z8" s="7"/>
      <c r="AA8" s="7"/>
      <c r="AB8" s="15">
        <f t="shared" si="1"/>
        <v>0</v>
      </c>
      <c r="AC8" s="16">
        <f t="shared" si="2"/>
        <v>0</v>
      </c>
      <c r="AD8" s="16" t="str">
        <f t="shared" si="3"/>
        <v>2</v>
      </c>
      <c r="AG8" s="24" t="s">
        <v>11</v>
      </c>
      <c r="AH8" s="8" t="s">
        <v>18</v>
      </c>
    </row>
    <row r="9" spans="1:59" ht="21" x14ac:dyDescent="0.35">
      <c r="A9" s="7">
        <v>6</v>
      </c>
      <c r="B9" s="1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7"/>
      <c r="T9" s="7"/>
      <c r="U9" s="7"/>
      <c r="V9" s="7"/>
      <c r="W9" s="7"/>
      <c r="X9" s="7"/>
      <c r="Y9" s="7"/>
      <c r="Z9" s="7"/>
      <c r="AA9" s="7"/>
      <c r="AB9" s="15">
        <f t="shared" si="1"/>
        <v>0</v>
      </c>
      <c r="AC9" s="16">
        <f t="shared" si="2"/>
        <v>0</v>
      </c>
      <c r="AD9" s="16" t="str">
        <f t="shared" si="3"/>
        <v>2</v>
      </c>
      <c r="AG9" s="25" t="s">
        <v>12</v>
      </c>
      <c r="AH9" s="9">
        <v>15</v>
      </c>
      <c r="AI9" s="7">
        <v>1</v>
      </c>
      <c r="AJ9" s="7">
        <v>2</v>
      </c>
      <c r="AK9" s="7">
        <v>3</v>
      </c>
      <c r="AL9" s="7">
        <v>4</v>
      </c>
      <c r="AM9" s="7">
        <v>5</v>
      </c>
      <c r="AN9" s="7">
        <v>6</v>
      </c>
      <c r="AO9" s="7">
        <v>7</v>
      </c>
      <c r="AP9" s="7">
        <v>8</v>
      </c>
      <c r="AQ9" s="7">
        <v>9</v>
      </c>
      <c r="AR9" s="7">
        <v>10</v>
      </c>
      <c r="AS9" s="7">
        <v>11</v>
      </c>
      <c r="AT9" s="7">
        <v>12</v>
      </c>
      <c r="AU9" s="7">
        <v>13</v>
      </c>
      <c r="AV9" s="7">
        <v>14</v>
      </c>
      <c r="AW9" s="7">
        <v>15</v>
      </c>
      <c r="AX9" s="7">
        <v>16</v>
      </c>
      <c r="AY9" s="7">
        <v>17</v>
      </c>
      <c r="AZ9" s="7">
        <v>18</v>
      </c>
      <c r="BA9" s="7">
        <v>19</v>
      </c>
      <c r="BB9" s="7">
        <v>20</v>
      </c>
      <c r="BC9" s="7">
        <v>21</v>
      </c>
      <c r="BD9" s="7">
        <v>22</v>
      </c>
      <c r="BE9" s="7">
        <v>23</v>
      </c>
      <c r="BF9" s="7">
        <v>24</v>
      </c>
      <c r="BG9" s="7">
        <v>25</v>
      </c>
    </row>
    <row r="10" spans="1:59" ht="21" x14ac:dyDescent="0.35">
      <c r="A10" s="7">
        <v>7</v>
      </c>
      <c r="B10" s="1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7"/>
      <c r="T10" s="7"/>
      <c r="U10" s="7"/>
      <c r="V10" s="7"/>
      <c r="W10" s="7"/>
      <c r="X10" s="7"/>
      <c r="Y10" s="7"/>
      <c r="Z10" s="7"/>
      <c r="AA10" s="7"/>
      <c r="AB10" s="15">
        <f t="shared" si="1"/>
        <v>0</v>
      </c>
      <c r="AC10" s="16">
        <f t="shared" si="2"/>
        <v>0</v>
      </c>
      <c r="AD10" s="16" t="str">
        <f t="shared" si="3"/>
        <v>2</v>
      </c>
      <c r="AG10" s="25" t="s">
        <v>13</v>
      </c>
      <c r="AH10" s="9">
        <v>40</v>
      </c>
      <c r="AI10" s="1">
        <v>2.4</v>
      </c>
      <c r="AJ10" s="1">
        <v>2.4</v>
      </c>
      <c r="AK10" s="1">
        <v>2</v>
      </c>
      <c r="AL10" s="1">
        <v>5</v>
      </c>
      <c r="AM10" s="1">
        <v>2.4</v>
      </c>
      <c r="AN10" s="1">
        <v>2.4</v>
      </c>
      <c r="AO10" s="1">
        <v>2.4</v>
      </c>
      <c r="AP10" s="1">
        <v>2.4</v>
      </c>
      <c r="AQ10" s="1">
        <v>2.4</v>
      </c>
      <c r="AR10" s="1">
        <v>2.4</v>
      </c>
      <c r="AS10" s="1">
        <v>2.4</v>
      </c>
      <c r="AT10" s="1">
        <v>2</v>
      </c>
      <c r="AU10" s="1">
        <v>2</v>
      </c>
      <c r="AV10" s="1">
        <v>2.4</v>
      </c>
      <c r="AW10" s="1">
        <v>5</v>
      </c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 ht="21" x14ac:dyDescent="0.35">
      <c r="A11" s="7">
        <v>8</v>
      </c>
      <c r="B11" s="1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7"/>
      <c r="S11" s="7"/>
      <c r="T11" s="7"/>
      <c r="U11" s="7"/>
      <c r="V11" s="7"/>
      <c r="W11" s="7"/>
      <c r="X11" s="7"/>
      <c r="Y11" s="7"/>
      <c r="Z11" s="7"/>
      <c r="AA11" s="7"/>
      <c r="AB11" s="15">
        <f t="shared" si="1"/>
        <v>0</v>
      </c>
      <c r="AC11" s="16">
        <f t="shared" si="2"/>
        <v>0</v>
      </c>
      <c r="AD11" s="16" t="str">
        <f t="shared" si="3"/>
        <v>2</v>
      </c>
    </row>
    <row r="12" spans="1:59" ht="21" x14ac:dyDescent="0.35">
      <c r="A12" s="7">
        <v>9</v>
      </c>
      <c r="B12" s="1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7"/>
      <c r="S12" s="7"/>
      <c r="T12" s="7"/>
      <c r="U12" s="7"/>
      <c r="V12" s="7"/>
      <c r="W12" s="7"/>
      <c r="X12" s="7"/>
      <c r="Y12" s="7"/>
      <c r="Z12" s="7"/>
      <c r="AA12" s="7"/>
      <c r="AB12" s="15">
        <f t="shared" si="1"/>
        <v>0</v>
      </c>
      <c r="AC12" s="16">
        <f t="shared" si="2"/>
        <v>0</v>
      </c>
      <c r="AD12" s="16" t="str">
        <f t="shared" si="3"/>
        <v>2</v>
      </c>
    </row>
    <row r="13" spans="1:59" ht="21" x14ac:dyDescent="0.35">
      <c r="A13" s="7">
        <v>10</v>
      </c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7"/>
      <c r="S13" s="7"/>
      <c r="T13" s="7"/>
      <c r="U13" s="7"/>
      <c r="V13" s="7"/>
      <c r="W13" s="7"/>
      <c r="X13" s="7"/>
      <c r="Y13" s="7"/>
      <c r="Z13" s="7"/>
      <c r="AA13" s="7"/>
      <c r="AB13" s="15">
        <f t="shared" si="1"/>
        <v>0</v>
      </c>
      <c r="AC13" s="16">
        <f t="shared" si="2"/>
        <v>0</v>
      </c>
      <c r="AD13" s="16" t="str">
        <f t="shared" si="3"/>
        <v>2</v>
      </c>
    </row>
    <row r="14" spans="1:59" ht="21" x14ac:dyDescent="0.35">
      <c r="A14" s="7">
        <v>11</v>
      </c>
      <c r="B14" s="1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7"/>
      <c r="T14" s="7"/>
      <c r="U14" s="7"/>
      <c r="V14" s="7"/>
      <c r="W14" s="7"/>
      <c r="X14" s="7"/>
      <c r="Y14" s="7"/>
      <c r="Z14" s="7"/>
      <c r="AA14" s="7"/>
      <c r="AB14" s="15">
        <f t="shared" si="1"/>
        <v>0</v>
      </c>
      <c r="AC14" s="16">
        <f t="shared" si="2"/>
        <v>0</v>
      </c>
      <c r="AD14" s="16" t="str">
        <f t="shared" si="3"/>
        <v>2</v>
      </c>
    </row>
    <row r="15" spans="1:59" ht="21" x14ac:dyDescent="0.35">
      <c r="A15" s="7">
        <v>12</v>
      </c>
      <c r="B15" s="1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7"/>
      <c r="S15" s="7"/>
      <c r="T15" s="7"/>
      <c r="U15" s="7"/>
      <c r="V15" s="7"/>
      <c r="W15" s="7"/>
      <c r="X15" s="7"/>
      <c r="Y15" s="7"/>
      <c r="Z15" s="7"/>
      <c r="AA15" s="7"/>
      <c r="AB15" s="15">
        <f t="shared" si="1"/>
        <v>0</v>
      </c>
      <c r="AC15" s="16">
        <f t="shared" si="2"/>
        <v>0</v>
      </c>
      <c r="AD15" s="16" t="str">
        <f t="shared" si="3"/>
        <v>2</v>
      </c>
    </row>
    <row r="16" spans="1:59" ht="21" x14ac:dyDescent="0.35">
      <c r="A16" s="7">
        <v>13</v>
      </c>
      <c r="B16" s="1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7"/>
      <c r="S16" s="7"/>
      <c r="T16" s="7"/>
      <c r="U16" s="7"/>
      <c r="V16" s="7"/>
      <c r="W16" s="7"/>
      <c r="X16" s="7"/>
      <c r="Y16" s="7"/>
      <c r="Z16" s="7"/>
      <c r="AA16" s="7"/>
      <c r="AB16" s="15">
        <f t="shared" si="1"/>
        <v>0</v>
      </c>
      <c r="AC16" s="16">
        <f t="shared" si="2"/>
        <v>0</v>
      </c>
      <c r="AD16" s="16" t="str">
        <f t="shared" si="3"/>
        <v>2</v>
      </c>
    </row>
    <row r="17" spans="1:30" ht="21" x14ac:dyDescent="0.35">
      <c r="A17" s="7">
        <v>14</v>
      </c>
      <c r="B17" s="1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7"/>
      <c r="X17" s="7"/>
      <c r="Y17" s="7"/>
      <c r="Z17" s="7"/>
      <c r="AA17" s="7"/>
      <c r="AB17" s="15">
        <f t="shared" si="1"/>
        <v>0</v>
      </c>
      <c r="AC17" s="16">
        <f t="shared" si="2"/>
        <v>0</v>
      </c>
      <c r="AD17" s="16" t="str">
        <f t="shared" si="3"/>
        <v>2</v>
      </c>
    </row>
    <row r="18" spans="1:30" ht="21" x14ac:dyDescent="0.35">
      <c r="A18" s="7">
        <v>15</v>
      </c>
      <c r="B18" s="1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7"/>
      <c r="Y18" s="7"/>
      <c r="Z18" s="7"/>
      <c r="AA18" s="7"/>
      <c r="AB18" s="15">
        <f t="shared" si="1"/>
        <v>0</v>
      </c>
      <c r="AC18" s="16">
        <f t="shared" si="2"/>
        <v>0</v>
      </c>
      <c r="AD18" s="16" t="str">
        <f t="shared" si="3"/>
        <v>2</v>
      </c>
    </row>
    <row r="19" spans="1:30" ht="21" x14ac:dyDescent="0.35">
      <c r="A19" s="7">
        <v>16</v>
      </c>
      <c r="B19" s="1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7"/>
      <c r="T19" s="7"/>
      <c r="U19" s="7"/>
      <c r="V19" s="7"/>
      <c r="W19" s="7"/>
      <c r="X19" s="7"/>
      <c r="Y19" s="7"/>
      <c r="Z19" s="7"/>
      <c r="AA19" s="7"/>
      <c r="AB19" s="15">
        <f t="shared" si="1"/>
        <v>0</v>
      </c>
      <c r="AC19" s="16">
        <f t="shared" si="2"/>
        <v>0</v>
      </c>
      <c r="AD19" s="16" t="str">
        <f t="shared" si="3"/>
        <v>2</v>
      </c>
    </row>
    <row r="20" spans="1:30" ht="18" x14ac:dyDescent="0.35">
      <c r="A20" s="7">
        <v>17</v>
      </c>
      <c r="B20" s="1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5">
        <f t="shared" si="1"/>
        <v>0</v>
      </c>
      <c r="AC20" s="16">
        <f t="shared" si="2"/>
        <v>0</v>
      </c>
      <c r="AD20" s="16" t="str">
        <f t="shared" si="3"/>
        <v>2</v>
      </c>
    </row>
    <row r="21" spans="1:30" ht="18" x14ac:dyDescent="0.35">
      <c r="A21" s="7">
        <v>18</v>
      </c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15">
        <f t="shared" si="1"/>
        <v>0</v>
      </c>
      <c r="AC21" s="16">
        <f t="shared" si="2"/>
        <v>0</v>
      </c>
      <c r="AD21" s="16" t="str">
        <f t="shared" si="3"/>
        <v>2</v>
      </c>
    </row>
    <row r="22" spans="1:30" ht="18" x14ac:dyDescent="0.35">
      <c r="A22" s="7">
        <v>19</v>
      </c>
      <c r="B22" s="10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5">
        <f t="shared" si="1"/>
        <v>0</v>
      </c>
      <c r="AC22" s="16">
        <f t="shared" si="2"/>
        <v>0</v>
      </c>
      <c r="AD22" s="16" t="str">
        <f t="shared" si="3"/>
        <v>2</v>
      </c>
    </row>
    <row r="23" spans="1:30" ht="18" x14ac:dyDescent="0.35">
      <c r="A23" s="7">
        <v>20</v>
      </c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15">
        <f t="shared" si="1"/>
        <v>0</v>
      </c>
      <c r="AC23" s="16">
        <f t="shared" si="2"/>
        <v>0</v>
      </c>
      <c r="AD23" s="16" t="str">
        <f t="shared" si="3"/>
        <v>2</v>
      </c>
    </row>
    <row r="24" spans="1:30" ht="18" x14ac:dyDescent="0.35">
      <c r="A24" s="7">
        <v>21</v>
      </c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5">
        <f t="shared" si="1"/>
        <v>0</v>
      </c>
      <c r="AC24" s="16">
        <f t="shared" si="2"/>
        <v>0</v>
      </c>
      <c r="AD24" s="16" t="str">
        <f t="shared" si="3"/>
        <v>2</v>
      </c>
    </row>
    <row r="25" spans="1:30" ht="18" x14ac:dyDescent="0.35">
      <c r="A25" s="7">
        <v>22</v>
      </c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5">
        <f t="shared" si="1"/>
        <v>0</v>
      </c>
      <c r="AC25" s="16">
        <f t="shared" si="2"/>
        <v>0</v>
      </c>
      <c r="AD25" s="16" t="str">
        <f t="shared" si="3"/>
        <v>2</v>
      </c>
    </row>
    <row r="26" spans="1:30" ht="18" x14ac:dyDescent="0.35">
      <c r="A26" s="7">
        <v>23</v>
      </c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5">
        <f t="shared" si="1"/>
        <v>0</v>
      </c>
      <c r="AC26" s="16">
        <f t="shared" si="2"/>
        <v>0</v>
      </c>
      <c r="AD26" s="16" t="str">
        <f t="shared" si="3"/>
        <v>2</v>
      </c>
    </row>
    <row r="27" spans="1:30" ht="18" x14ac:dyDescent="0.35">
      <c r="A27" s="7">
        <v>24</v>
      </c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15">
        <f t="shared" si="1"/>
        <v>0</v>
      </c>
      <c r="AC27" s="16">
        <f t="shared" si="2"/>
        <v>0</v>
      </c>
      <c r="AD27" s="16" t="str">
        <f t="shared" si="3"/>
        <v>2</v>
      </c>
    </row>
    <row r="28" spans="1:30" ht="18" x14ac:dyDescent="0.35">
      <c r="A28" s="7">
        <v>25</v>
      </c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5">
        <f t="shared" si="1"/>
        <v>0</v>
      </c>
      <c r="AC28" s="16">
        <f t="shared" si="2"/>
        <v>0</v>
      </c>
      <c r="AD28" s="16" t="str">
        <f t="shared" si="3"/>
        <v>2</v>
      </c>
    </row>
    <row r="29" spans="1:30" ht="18" x14ac:dyDescent="0.35">
      <c r="A29" s="7">
        <v>26</v>
      </c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15">
        <f t="shared" si="1"/>
        <v>0</v>
      </c>
      <c r="AC29" s="16">
        <f t="shared" si="2"/>
        <v>0</v>
      </c>
      <c r="AD29" s="16" t="str">
        <f t="shared" si="3"/>
        <v>2</v>
      </c>
    </row>
    <row r="30" spans="1:30" ht="18" x14ac:dyDescent="0.35">
      <c r="A30" s="7">
        <v>27</v>
      </c>
      <c r="B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15">
        <f t="shared" si="1"/>
        <v>0</v>
      </c>
      <c r="AC30" s="16">
        <f t="shared" si="2"/>
        <v>0</v>
      </c>
      <c r="AD30" s="16" t="str">
        <f t="shared" si="3"/>
        <v>2</v>
      </c>
    </row>
    <row r="31" spans="1:30" ht="18" x14ac:dyDescent="0.35">
      <c r="A31" s="7">
        <v>28</v>
      </c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15">
        <f t="shared" si="1"/>
        <v>0</v>
      </c>
      <c r="AC31" s="16">
        <f t="shared" si="2"/>
        <v>0</v>
      </c>
      <c r="AD31" s="16" t="str">
        <f t="shared" si="3"/>
        <v>2</v>
      </c>
    </row>
    <row r="32" spans="1:30" ht="18" x14ac:dyDescent="0.35">
      <c r="A32" s="7">
        <v>29</v>
      </c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5">
        <f t="shared" si="1"/>
        <v>0</v>
      </c>
      <c r="AC32" s="16">
        <f t="shared" si="2"/>
        <v>0</v>
      </c>
      <c r="AD32" s="16" t="str">
        <f t="shared" si="3"/>
        <v>2</v>
      </c>
    </row>
    <row r="33" spans="1:30" ht="18" x14ac:dyDescent="0.35">
      <c r="A33" s="7">
        <v>30</v>
      </c>
      <c r="B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15">
        <f t="shared" si="1"/>
        <v>0</v>
      </c>
      <c r="AC33" s="16">
        <f t="shared" si="2"/>
        <v>0</v>
      </c>
      <c r="AD33" s="16" t="str">
        <f t="shared" si="3"/>
        <v>2</v>
      </c>
    </row>
    <row r="34" spans="1:30" ht="18" x14ac:dyDescent="0.35">
      <c r="A34" s="7">
        <v>31</v>
      </c>
      <c r="B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15">
        <f t="shared" si="1"/>
        <v>0</v>
      </c>
      <c r="AC34" s="16">
        <f t="shared" si="2"/>
        <v>0</v>
      </c>
      <c r="AD34" s="16" t="str">
        <f t="shared" si="3"/>
        <v>2</v>
      </c>
    </row>
    <row r="35" spans="1:30" ht="18" x14ac:dyDescent="0.35">
      <c r="A35" s="7">
        <v>32</v>
      </c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5">
        <f t="shared" si="1"/>
        <v>0</v>
      </c>
      <c r="AC35" s="16">
        <f t="shared" si="2"/>
        <v>0</v>
      </c>
      <c r="AD35" s="16" t="str">
        <f t="shared" si="3"/>
        <v>2</v>
      </c>
    </row>
    <row r="36" spans="1:30" ht="18" x14ac:dyDescent="0.35">
      <c r="A36" s="7">
        <v>33</v>
      </c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15">
        <f t="shared" si="1"/>
        <v>0</v>
      </c>
      <c r="AC36" s="16">
        <f t="shared" si="2"/>
        <v>0</v>
      </c>
      <c r="AD36" s="16" t="str">
        <f t="shared" si="3"/>
        <v>2</v>
      </c>
    </row>
    <row r="37" spans="1:30" ht="18" x14ac:dyDescent="0.35">
      <c r="A37" s="7">
        <v>34</v>
      </c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5">
        <f t="shared" si="1"/>
        <v>0</v>
      </c>
      <c r="AC37" s="16">
        <f t="shared" si="2"/>
        <v>0</v>
      </c>
      <c r="AD37" s="16" t="str">
        <f t="shared" si="3"/>
        <v>2</v>
      </c>
    </row>
    <row r="38" spans="1:30" ht="18" x14ac:dyDescent="0.35">
      <c r="A38" s="7">
        <v>35</v>
      </c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5">
        <f t="shared" si="1"/>
        <v>0</v>
      </c>
      <c r="AC38" s="16">
        <f t="shared" si="2"/>
        <v>0</v>
      </c>
      <c r="AD38" s="16" t="str">
        <f t="shared" si="3"/>
        <v>2</v>
      </c>
    </row>
    <row r="39" spans="1:30" ht="18" x14ac:dyDescent="0.35">
      <c r="A39" s="7">
        <v>36</v>
      </c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15">
        <f t="shared" si="1"/>
        <v>0</v>
      </c>
      <c r="AC39" s="16">
        <f t="shared" si="2"/>
        <v>0</v>
      </c>
      <c r="AD39" s="16" t="str">
        <f t="shared" si="3"/>
        <v>2</v>
      </c>
    </row>
    <row r="40" spans="1:30" ht="17.5" x14ac:dyDescent="0.35">
      <c r="A40" s="7"/>
      <c r="B40" s="7" t="s">
        <v>4</v>
      </c>
      <c r="C40" s="4" t="e">
        <f>SUBTOTAL(1,C4:C39)</f>
        <v>#DIV/0!</v>
      </c>
      <c r="D40" s="4" t="e">
        <f t="shared" ref="D40:AA40" si="4">SUBTOTAL(1,D4:D39)</f>
        <v>#DIV/0!</v>
      </c>
      <c r="E40" s="4" t="e">
        <f t="shared" si="4"/>
        <v>#DIV/0!</v>
      </c>
      <c r="F40" s="4" t="e">
        <f t="shared" si="4"/>
        <v>#DIV/0!</v>
      </c>
      <c r="G40" s="4" t="e">
        <f t="shared" si="4"/>
        <v>#DIV/0!</v>
      </c>
      <c r="H40" s="4" t="e">
        <f t="shared" si="4"/>
        <v>#DIV/0!</v>
      </c>
      <c r="I40" s="4" t="e">
        <f t="shared" si="4"/>
        <v>#DIV/0!</v>
      </c>
      <c r="J40" s="4" t="e">
        <f t="shared" si="4"/>
        <v>#DIV/0!</v>
      </c>
      <c r="K40" s="4" t="e">
        <f t="shared" si="4"/>
        <v>#DIV/0!</v>
      </c>
      <c r="L40" s="4" t="e">
        <f t="shared" si="4"/>
        <v>#DIV/0!</v>
      </c>
      <c r="M40" s="4" t="e">
        <f t="shared" si="4"/>
        <v>#DIV/0!</v>
      </c>
      <c r="N40" s="4" t="e">
        <f t="shared" si="4"/>
        <v>#DIV/0!</v>
      </c>
      <c r="O40" s="4" t="e">
        <f t="shared" si="4"/>
        <v>#DIV/0!</v>
      </c>
      <c r="P40" s="4" t="e">
        <f t="shared" si="4"/>
        <v>#DIV/0!</v>
      </c>
      <c r="Q40" s="4" t="e">
        <f t="shared" si="4"/>
        <v>#DIV/0!</v>
      </c>
      <c r="R40" s="4" t="e">
        <f t="shared" si="4"/>
        <v>#DIV/0!</v>
      </c>
      <c r="S40" s="4" t="e">
        <f t="shared" si="4"/>
        <v>#DIV/0!</v>
      </c>
      <c r="T40" s="4" t="e">
        <f t="shared" si="4"/>
        <v>#DIV/0!</v>
      </c>
      <c r="U40" s="4" t="e">
        <f t="shared" si="4"/>
        <v>#DIV/0!</v>
      </c>
      <c r="V40" s="4" t="e">
        <f t="shared" si="4"/>
        <v>#DIV/0!</v>
      </c>
      <c r="W40" s="4" t="e">
        <f t="shared" si="4"/>
        <v>#DIV/0!</v>
      </c>
      <c r="X40" s="4" t="e">
        <f t="shared" si="4"/>
        <v>#DIV/0!</v>
      </c>
      <c r="Y40" s="4" t="e">
        <f t="shared" si="4"/>
        <v>#DIV/0!</v>
      </c>
      <c r="Z40" s="4" t="e">
        <f t="shared" si="4"/>
        <v>#DIV/0!</v>
      </c>
      <c r="AA40" s="4" t="e">
        <f t="shared" si="4"/>
        <v>#DIV/0!</v>
      </c>
      <c r="AB40" s="4">
        <f>IFERROR(SUBTOTAL(101,AB4:AB39),"")</f>
        <v>0</v>
      </c>
      <c r="AC40" s="5">
        <f>IFERROR(SUBTOTAL(101,AC4:AC39),"")</f>
        <v>0</v>
      </c>
      <c r="AD40" s="7"/>
    </row>
    <row r="41" spans="1:30" ht="18" x14ac:dyDescent="0.35">
      <c r="AD41" s="3">
        <f>AD44+AD45+AD46+AD47</f>
        <v>36</v>
      </c>
    </row>
    <row r="42" spans="1:30" ht="18" x14ac:dyDescent="0.35">
      <c r="A42" s="17" t="str">
        <f>CONCATENATE("O'IBDO':_________", AH6)</f>
        <v>O'IBDO':_________O. Sultanov</v>
      </c>
      <c r="B42" s="17"/>
      <c r="AB42" s="19" t="s">
        <v>19</v>
      </c>
      <c r="AC42" s="20"/>
      <c r="AD42" s="2">
        <f>100*(AD44+AD45+AD46)/AD41</f>
        <v>0</v>
      </c>
    </row>
    <row r="43" spans="1:30" ht="18.649999999999999" customHeight="1" x14ac:dyDescent="0.35">
      <c r="A43" s="17" t="str">
        <f>CONCATENATE("Metod  birlashma rahbari: _________ ", AH7)</f>
        <v>Metod  birlashma rahbari: _________ S. Seyitova</v>
      </c>
      <c r="B43" s="17"/>
      <c r="AB43" s="19" t="s">
        <v>20</v>
      </c>
      <c r="AC43" s="20"/>
      <c r="AD43" s="2">
        <f>100*(AD44+AD45)/AD41</f>
        <v>0</v>
      </c>
    </row>
    <row r="44" spans="1:30" ht="18" x14ac:dyDescent="0.35">
      <c r="A44" s="17" t="str">
        <f>CONCATENATE("Fan o'qituvchi:_________ ", AH7)</f>
        <v>Fan o'qituvchi:_________ S. Seyitova</v>
      </c>
      <c r="B44" s="17"/>
      <c r="AB44" s="2"/>
      <c r="AC44" s="2">
        <v>5</v>
      </c>
      <c r="AD44" s="2">
        <f>COUNTIF(AD$4:AD$40,5)</f>
        <v>0</v>
      </c>
    </row>
    <row r="45" spans="1:30" ht="18" x14ac:dyDescent="0.35">
      <c r="AB45" s="2"/>
      <c r="AC45" s="2">
        <v>4</v>
      </c>
      <c r="AD45" s="2">
        <f>COUNTIF(AD$4:AD$40,4)</f>
        <v>0</v>
      </c>
    </row>
    <row r="46" spans="1:30" ht="18" x14ac:dyDescent="0.35">
      <c r="AB46" s="2"/>
      <c r="AC46" s="2">
        <v>3</v>
      </c>
      <c r="AD46" s="2">
        <f>COUNTIF(AD$4:AD$40,3)</f>
        <v>0</v>
      </c>
    </row>
    <row r="47" spans="1:30" ht="18" x14ac:dyDescent="0.35">
      <c r="AB47" s="2"/>
      <c r="AC47" s="2">
        <v>2</v>
      </c>
      <c r="AD47" s="2">
        <f>COUNTIF(AD$4:AD$40,2)</f>
        <v>36</v>
      </c>
    </row>
  </sheetData>
  <mergeCells count="10">
    <mergeCell ref="A43:B43"/>
    <mergeCell ref="A44:B44"/>
    <mergeCell ref="A1:AD1"/>
    <mergeCell ref="A2:A3"/>
    <mergeCell ref="B2:B3"/>
    <mergeCell ref="AC2:AC3"/>
    <mergeCell ref="AD2:AD3"/>
    <mergeCell ref="A42:B42"/>
    <mergeCell ref="AB42:AC42"/>
    <mergeCell ref="AB43:AC4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 Windows</cp:lastModifiedBy>
  <dcterms:created xsi:type="dcterms:W3CDTF">2026-01-29T05:28:08Z</dcterms:created>
  <dcterms:modified xsi:type="dcterms:W3CDTF">2026-02-28T17:52:47Z</dcterms:modified>
</cp:coreProperties>
</file>