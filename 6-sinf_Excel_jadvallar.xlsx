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9420" windowHeight="8010" firstSheet="6" activeTab="12"/>
  </bookViews>
  <sheets>
    <sheet name="1-1-mashg'ulot" sheetId="12" r:id="rId1"/>
    <sheet name="1-2-mashg'ulot" sheetId="11" r:id="rId2"/>
    <sheet name="2-mashg'ulot" sheetId="10" r:id="rId3"/>
    <sheet name="2-1-mashg'ulot" sheetId="1" r:id="rId4"/>
    <sheet name="2-3-mashg'ulot" sheetId="2" r:id="rId5"/>
    <sheet name="3-mashg'ulot" sheetId="3" r:id="rId6"/>
    <sheet name="4-mashg'ulot" sheetId="13" r:id="rId7"/>
    <sheet name="5-mashg'ulot" sheetId="18" r:id="rId8"/>
    <sheet name="6-mashg'ulot" sheetId="17" r:id="rId9"/>
    <sheet name="7-mashg'ulot" sheetId="16" r:id="rId10"/>
    <sheet name="8-mashg'ulot" sheetId="15" r:id="rId11"/>
    <sheet name="Shokolad" sheetId="4" r:id="rId12"/>
    <sheet name="Sayohat" sheetId="19" r:id="rId13"/>
  </sheets>
  <calcPr calcId="144525"/>
</workbook>
</file>

<file path=xl/calcChain.xml><?xml version="1.0" encoding="utf-8"?>
<calcChain xmlns="http://schemas.openxmlformats.org/spreadsheetml/2006/main">
  <c r="E7" i="19" l="1"/>
  <c r="E6" i="19"/>
  <c r="F5" i="4" l="1"/>
  <c r="E5" i="4"/>
  <c r="F4" i="4"/>
  <c r="E4" i="4"/>
  <c r="F3" i="4"/>
  <c r="E3" i="4"/>
  <c r="F2" i="4"/>
  <c r="E2" i="4"/>
  <c r="B9" i="4" s="1"/>
  <c r="B7" i="15"/>
  <c r="B6" i="15"/>
  <c r="B5" i="15"/>
  <c r="B4" i="15"/>
  <c r="H7" i="17"/>
  <c r="H6" i="17"/>
  <c r="H5" i="17"/>
  <c r="C5" i="17"/>
  <c r="Q4" i="17"/>
  <c r="P4" i="17"/>
  <c r="O4" i="17"/>
  <c r="N4" i="17"/>
  <c r="M4" i="17"/>
  <c r="L4" i="17"/>
  <c r="H4" i="17"/>
  <c r="C4" i="17"/>
  <c r="H3" i="17"/>
  <c r="C3" i="17"/>
  <c r="H2" i="17"/>
  <c r="C2" i="17"/>
  <c r="I9" i="18"/>
  <c r="B9" i="18"/>
  <c r="O1" i="18"/>
  <c r="D12" i="13"/>
  <c r="C12" i="13"/>
  <c r="B12" i="13"/>
  <c r="A12" i="13"/>
  <c r="G6" i="13"/>
  <c r="F6" i="13"/>
  <c r="G5" i="13"/>
  <c r="F5" i="13"/>
  <c r="G4" i="13"/>
  <c r="F4" i="13"/>
  <c r="G3" i="13"/>
  <c r="F3" i="13"/>
  <c r="C3" i="13"/>
  <c r="G2" i="13"/>
  <c r="F2" i="13"/>
  <c r="C2" i="13"/>
  <c r="C4" i="1"/>
  <c r="C3" i="1"/>
  <c r="C2" i="1"/>
  <c r="F6" i="10"/>
  <c r="F5" i="10"/>
  <c r="F4" i="10"/>
  <c r="F3" i="10"/>
  <c r="F2" i="10"/>
  <c r="B9" i="19"/>
  <c r="B10" i="4"/>
  <c r="B11" i="4"/>
</calcChain>
</file>

<file path=xl/sharedStrings.xml><?xml version="1.0" encoding="utf-8"?>
<sst xmlns="http://schemas.openxmlformats.org/spreadsheetml/2006/main" count="103" uniqueCount="79">
  <si>
    <t>Birinchi raqam</t>
  </si>
  <si>
    <t>Ikkinchi raqam</t>
  </si>
  <si>
    <t>Jami</t>
  </si>
  <si>
    <t>1 raqam</t>
  </si>
  <si>
    <t>2 raqam</t>
  </si>
  <si>
    <t>Qo'shish</t>
  </si>
  <si>
    <t>Ayirish</t>
  </si>
  <si>
    <t>Bo'lish</t>
  </si>
  <si>
    <t>Ko'paytirish</t>
  </si>
  <si>
    <t>Katak</t>
  </si>
  <si>
    <t>Formula</t>
  </si>
  <si>
    <t>A1</t>
  </si>
  <si>
    <t>B1</t>
  </si>
  <si>
    <t>C1</t>
  </si>
  <si>
    <t>D1</t>
  </si>
  <si>
    <t>=2+3</t>
  </si>
  <si>
    <t>=2+5</t>
  </si>
  <si>
    <t>=5-2</t>
  </si>
  <si>
    <t>=10/2</t>
  </si>
  <si>
    <t>=10*2</t>
  </si>
  <si>
    <t>=10-4</t>
  </si>
  <si>
    <t>=12/4</t>
  </si>
  <si>
    <t>=3*8</t>
  </si>
  <si>
    <t>Shokolad</t>
  </si>
  <si>
    <t>Sotib olish narxi</t>
  </si>
  <si>
    <t>Sotish narxi</t>
  </si>
  <si>
    <t>Sotilganlar narxi</t>
  </si>
  <si>
    <t>Sotib olish*Sotilganlar soni</t>
  </si>
  <si>
    <t>Sotish*Sotilganlar narxi</t>
  </si>
  <si>
    <t>Qora</t>
  </si>
  <si>
    <t>Sutli</t>
  </si>
  <si>
    <t>Karamel</t>
  </si>
  <si>
    <t>Yong'oqli</t>
  </si>
  <si>
    <t>Umumiy xarajat</t>
  </si>
  <si>
    <t>Umumiy daromad</t>
  </si>
  <si>
    <t>Foyda</t>
  </si>
  <si>
    <t>=E2+E3+E4+E5</t>
  </si>
  <si>
    <t>=F2+F3+F4+F5</t>
  </si>
  <si>
    <t>=B10-B9</t>
  </si>
  <si>
    <t>Formulasi:</t>
  </si>
  <si>
    <t>O'quvchilar soni</t>
  </si>
  <si>
    <t>Ismi</t>
  </si>
  <si>
    <t>Yoshi</t>
  </si>
  <si>
    <t>Jinsi</t>
  </si>
  <si>
    <t>Jane Eyre</t>
  </si>
  <si>
    <t>Ayol</t>
  </si>
  <si>
    <t>1 Raqam</t>
  </si>
  <si>
    <t>Total</t>
  </si>
  <si>
    <t>Total:</t>
  </si>
  <si>
    <t>Yig'indi</t>
  </si>
  <si>
    <t>Ko'paytma</t>
  </si>
  <si>
    <t>Olingan</t>
  </si>
  <si>
    <t>1 Raqam:</t>
  </si>
  <si>
    <t>2 Raqam:</t>
  </si>
  <si>
    <t>3 Raqam:</t>
  </si>
  <si>
    <t>Oy</t>
  </si>
  <si>
    <t>O'rtacha harorat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</si>
  <si>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</si>
  <si>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</si>
  <si>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</si>
  <si>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</si>
  <si>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</si>
  <si>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</si>
  <si>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</si>
  <si>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</si>
  <si>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Sentyabr</t>
  </si>
  <si>
    <t>Oktyabr</t>
  </si>
  <si>
    <t>Noyabr</t>
  </si>
  <si>
    <t>Dekabr</t>
  </si>
  <si>
    <t>Umumiy narx</t>
  </si>
  <si>
    <t>Xizmat turi</t>
  </si>
  <si>
    <t>Avtobus</t>
  </si>
  <si>
    <t>Qo'shimcha ustozlar xizmati</t>
  </si>
  <si>
    <t>Bitta o'quvchining xarajati</t>
  </si>
  <si>
    <t>Narxi</t>
  </si>
  <si>
    <t>Muzeyga kirish</t>
  </si>
  <si>
    <t>Ekskursiya</t>
  </si>
  <si>
    <t>Tushlik</t>
  </si>
  <si>
    <t>Ustozlar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</si>
</sst>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4" borderId="0" xfId="0" applyFill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'7-mashg''ulot'!$B$1</c:f>
              <c:strCache>
                <c:ptCount val="1"/>
                <c:pt idx="0">
                  <c:v>O'rtacha harorat</c:v>
                </c:pt>
              </c:strCache>
            </c:strRef>
          </c:tx>
          <c:invertIfNegative val="0"/>
          <c:cat>
            <c:strRef>
              <c:f>'7-mashg''ulot'!$A$2:$A$13</c:f>
              <c:strCache>
                <c:ptCount val="12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  <c:pt idx="4">
                  <c:v>May</c:v>
                </c:pt>
                <c:pt idx="5">
                  <c:v>Iyun</c:v>
                </c:pt>
                <c:pt idx="6">
                  <c:v>Iyul</c:v>
                </c:pt>
                <c:pt idx="7">
                  <c:v>Avgust</c:v>
                </c:pt>
                <c:pt idx="8">
                  <c:v>Sentyabr</c:v>
                </c:pt>
                <c:pt idx="9">
                  <c:v>Oktyabr</c:v>
                </c:pt>
                <c:pt idx="10">
                  <c:v>Noyabr</c:v>
                </c:pt>
                <c:pt idx="11">
                  <c:v>Dekabr</c:v>
                </c:pt>
              </c:strCache>
            </c:strRef>
          </c:cat>
          <c:val>
            <c:numRef>
              <c:f>'7-mashg''ulot'!$B$2:$B$13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11</c:v>
                </c:pt>
                <c:pt idx="4">
                  <c:v>18</c:v>
                </c:pt>
                <c:pt idx="5">
                  <c:v>24</c:v>
                </c:pt>
                <c:pt idx="6">
                  <c:v>29</c:v>
                </c:pt>
                <c:pt idx="7">
                  <c:v>33</c:v>
                </c:pt>
                <c:pt idx="8">
                  <c:v>28</c:v>
                </c:pt>
                <c:pt idx="9">
                  <c:v>18</c:v>
                </c:pt>
                <c:pt idx="10">
                  <c:v>12</c:v>
                </c:pt>
                <c:pt idx="1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05504"/>
        <c:axId val="150827776"/>
      </c:barChart>
      <c:catAx>
        <c:axId val="15080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50827776"/>
        <c:crosses val="autoZero"/>
        <c:auto val="1"/>
        <c:lblAlgn val="ctr"/>
        <c:lblOffset val="100"/>
        <c:noMultiLvlLbl val="0"/>
      </c:catAx>
      <c:valAx>
        <c:axId val="150827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80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Shokolad!$B$1</c:f>
              <c:strCache>
                <c:ptCount val="1"/>
                <c:pt idx="0">
                  <c:v>Sotib olish narxi</c:v>
                </c:pt>
              </c:strCache>
            </c:strRef>
          </c:tx>
          <c:invertIfNegative val="0"/>
          <c:cat>
            <c:strRef>
              <c:f>Shokolad!$A$2:$A$5</c:f>
              <c:strCache>
                <c:ptCount val="4"/>
                <c:pt idx="0">
                  <c:v>Qora</c:v>
                </c:pt>
                <c:pt idx="1">
                  <c:v>Sutli</c:v>
                </c:pt>
                <c:pt idx="2">
                  <c:v>Karamel</c:v>
                </c:pt>
                <c:pt idx="3">
                  <c:v>Yong'oqli</c:v>
                </c:pt>
              </c:strCache>
            </c:strRef>
          </c:cat>
          <c:val>
            <c:numRef>
              <c:f>Shokolad!$B$2:$B$5</c:f>
              <c:numCache>
                <c:formatCode>General</c:formatCode>
                <c:ptCount val="4"/>
                <c:pt idx="0">
                  <c:v>1.2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561536"/>
        <c:axId val="150563072"/>
      </c:barChart>
      <c:catAx>
        <c:axId val="1505615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50563072"/>
        <c:crosses val="autoZero"/>
        <c:auto val="1"/>
        <c:lblAlgn val="ctr"/>
        <c:lblOffset val="100"/>
        <c:noMultiLvlLbl val="0"/>
      </c:catAx>
      <c:valAx>
        <c:axId val="15056307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5056153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Sayohat!$E$2</c:f>
              <c:strCache>
                <c:ptCount val="1"/>
                <c:pt idx="0">
                  <c:v>Narxi</c:v>
                </c:pt>
              </c:strCache>
            </c:strRef>
          </c:tx>
          <c:cat>
            <c:strRef>
              <c:f>Sayohat!$D$3:$D$7</c:f>
              <c:strCache>
                <c:ptCount val="5"/>
                <c:pt idx="0">
                  <c:v>Muzeyga kirish</c:v>
                </c:pt>
                <c:pt idx="1">
                  <c:v>Ekskursiya</c:v>
                </c:pt>
                <c:pt idx="2">
                  <c:v>Tushlik</c:v>
                </c:pt>
                <c:pt idx="3">
                  <c:v>Avtobus</c:v>
                </c:pt>
                <c:pt idx="4">
                  <c:v>Ustozlar</c:v>
                </c:pt>
              </c:strCache>
            </c:strRef>
          </c:cat>
          <c:val>
            <c:numRef>
              <c:f>Sayohat!$E$3:$E$7</c:f>
              <c:numCache>
                <c:formatCode>General</c:formatCode>
                <c:ptCount val="5"/>
                <c:pt idx="0">
                  <c:v>25</c:v>
                </c:pt>
                <c:pt idx="1">
                  <c:v>1</c:v>
                </c:pt>
                <c:pt idx="2">
                  <c:v>2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0</xdr:row>
      <xdr:rowOff>311727</xdr:rowOff>
    </xdr:from>
    <xdr:to>
      <xdr:col>13</xdr:col>
      <xdr:colOff>588819</xdr:colOff>
      <xdr:row>13</xdr:row>
      <xdr:rowOff>138546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0</xdr:row>
      <xdr:rowOff>542925</xdr:rowOff>
    </xdr:from>
    <xdr:to>
      <xdr:col>10</xdr:col>
      <xdr:colOff>657225</xdr:colOff>
      <xdr:row>9</xdr:row>
      <xdr:rowOff>371475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382680</xdr:colOff>
      <xdr:row>7</xdr:row>
      <xdr:rowOff>195542</xdr:rowOff>
    </xdr:from>
    <xdr:to>
      <xdr:col>6</xdr:col>
      <xdr:colOff>1430430</xdr:colOff>
      <xdr:row>20</xdr:row>
      <xdr:rowOff>134470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G12" sqref="G12"/>
    </sheetView>
  </sheetViews>
  <sheetFormatPr defaultRowHeight="14.5" x14ac:dyDescent="0.35"/>
  <cols>
    <col min="1" max="8" width="5.7265625" customWidth="1"/>
  </cols>
  <sheetData>
    <row r="1" spans="1:8" ht="24.75" customHeight="1" x14ac:dyDescent="0.35">
      <c r="A1" s="17"/>
      <c r="B1" s="17"/>
      <c r="C1" s="17"/>
      <c r="D1" s="17"/>
      <c r="E1" s="17"/>
      <c r="F1" s="16"/>
      <c r="G1" s="16"/>
      <c r="H1" s="16"/>
    </row>
    <row r="2" spans="1:8" ht="24.75" customHeight="1" x14ac:dyDescent="0.35">
      <c r="A2" s="16"/>
      <c r="B2" s="16"/>
      <c r="C2" s="16"/>
      <c r="D2" s="16"/>
      <c r="E2" s="16"/>
      <c r="F2" s="16"/>
      <c r="G2" s="18"/>
      <c r="H2" s="16"/>
    </row>
    <row r="3" spans="1:8" ht="24.75" customHeight="1" x14ac:dyDescent="0.35">
      <c r="A3" s="16"/>
      <c r="B3" s="16"/>
      <c r="C3" s="16"/>
      <c r="D3" s="16"/>
      <c r="E3" s="16"/>
      <c r="F3" s="16"/>
      <c r="G3" s="18"/>
      <c r="H3" s="16"/>
    </row>
    <row r="4" spans="1:8" ht="24.75" customHeight="1" x14ac:dyDescent="0.35">
      <c r="A4" s="16"/>
      <c r="B4" s="16"/>
      <c r="C4" s="16"/>
      <c r="D4" s="16"/>
      <c r="E4" s="16"/>
      <c r="F4" s="16"/>
      <c r="G4" s="18"/>
      <c r="H4" s="16"/>
    </row>
    <row r="5" spans="1:8" ht="24.75" customHeight="1" x14ac:dyDescent="0.35">
      <c r="A5" s="16"/>
      <c r="B5" s="16"/>
      <c r="C5" s="19"/>
      <c r="D5" s="19"/>
      <c r="E5" s="19"/>
      <c r="F5" s="19"/>
      <c r="G5" s="16"/>
      <c r="H5" s="16"/>
    </row>
    <row r="6" spans="1:8" ht="24.75" customHeight="1" x14ac:dyDescent="0.35">
      <c r="A6" s="20"/>
      <c r="B6" s="16"/>
      <c r="C6" s="16"/>
      <c r="D6" s="16"/>
      <c r="E6" s="16"/>
      <c r="F6" s="16"/>
      <c r="G6" s="16"/>
      <c r="H6" s="16"/>
    </row>
    <row r="7" spans="1:8" ht="24.75" customHeight="1" x14ac:dyDescent="0.35">
      <c r="A7" s="20"/>
      <c r="B7" s="16"/>
      <c r="C7" s="16"/>
      <c r="D7" s="16"/>
      <c r="E7" s="16"/>
      <c r="F7" s="16"/>
      <c r="G7" s="16"/>
      <c r="H7" s="16"/>
    </row>
    <row r="8" spans="1:8" ht="24.75" customHeight="1" x14ac:dyDescent="0.35">
      <c r="A8" s="16"/>
      <c r="B8" s="16"/>
      <c r="C8" s="16"/>
      <c r="D8" s="16"/>
      <c r="E8" s="16"/>
      <c r="F8" s="16"/>
      <c r="G8" s="16"/>
      <c r="H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P19"/>
  <sheetViews>
    <sheetView workbookViewId="0">
      <selection activeCell="F18" sqref="F18"/>
    </sheetView>
  </sheetViews>
  <sheetFormatPr defaultRowHeight="14.5" x14ac:dyDescent="0.35"/>
  <sheetData>
    <row r="5" spans="3:16" x14ac:dyDescent="0.35">
      <c r="C5" s="21"/>
    </row>
    <row r="6" spans="3:16" x14ac:dyDescent="0.35">
      <c r="G6" s="21"/>
      <c r="P6" s="21"/>
    </row>
    <row r="12" spans="3:16" x14ac:dyDescent="0.35">
      <c r="L12" s="21"/>
    </row>
    <row r="17" spans="4:15" x14ac:dyDescent="0.35">
      <c r="D17" s="21"/>
    </row>
    <row r="19" spans="4:15" x14ac:dyDescent="0.35">
      <c r="O19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45" zoomScaleNormal="145" workbookViewId="0">
      <selection activeCell="F6" sqref="F6"/>
    </sheetView>
  </sheetViews>
  <sheetFormatPr defaultRowHeight="14.5" x14ac:dyDescent="0.35"/>
  <cols>
    <col min="2" max="2" width="14.7265625" customWidth="1"/>
  </cols>
  <sheetData>
    <row r="1" spans="1:6" ht="18" x14ac:dyDescent="0.4">
      <c r="A1" s="23" t="s">
        <v>41</v>
      </c>
      <c r="B1" s="24" t="s">
        <v>44</v>
      </c>
      <c r="D1" s="25" t="s">
        <v>46</v>
      </c>
      <c r="E1" s="25" t="s">
        <v>4</v>
      </c>
      <c r="F1" s="25" t="s">
        <v>2</v>
      </c>
    </row>
    <row r="2" spans="1:6" ht="18" x14ac:dyDescent="0.4">
      <c r="A2" s="23" t="s">
        <v>42</v>
      </c>
      <c r="B2" s="24">
        <v>22</v>
      </c>
      <c r="D2" s="26">
        <v>2</v>
      </c>
      <c r="E2" s="26">
        <v>3</v>
      </c>
      <c r="F2" s="26">
        <f>D2+E2</f>
        <v>5</v>
      </c>
    </row>
    <row r="3" spans="1:6" ht="18" x14ac:dyDescent="0.4">
      <c r="A3" s="23" t="s">
        <v>43</v>
      </c>
      <c r="B3" s="24" t="s">
        <v>45</v>
      </c>
      <c r="D3" s="26">
        <v>5</v>
      </c>
      <c r="E3" s="26">
        <v>88</v>
      </c>
      <c r="F3" s="26">
        <f>D3+E3</f>
        <v>93</v>
      </c>
    </row>
    <row r="4" spans="1:6" x14ac:dyDescent="0.35">
      <c r="D4" s="26">
        <v>1</v>
      </c>
      <c r="E4" s="26">
        <v>2</v>
      </c>
      <c r="F4" s="26">
        <f>D4+E4</f>
        <v>3</v>
      </c>
    </row>
    <row r="5" spans="1:6" x14ac:dyDescent="0.35">
      <c r="D5" s="26">
        <v>12</v>
      </c>
      <c r="E5" s="26">
        <v>26</v>
      </c>
      <c r="F5" s="26">
        <f>D5+E5</f>
        <v>38</v>
      </c>
    </row>
    <row r="6" spans="1:6" x14ac:dyDescent="0.35">
      <c r="D6" s="26">
        <v>9</v>
      </c>
      <c r="E6" s="26">
        <v>32</v>
      </c>
      <c r="F6" s="26">
        <f>D6+E6</f>
        <v>41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45" zoomScaleNormal="145" workbookViewId="0">
      <selection activeCell="B8" sqref="B8"/>
    </sheetView>
  </sheetViews>
  <sheetFormatPr defaultRowHeight="14.5" x14ac:dyDescent="0.35"/>
  <cols>
    <col min="1" max="2" width="20.1796875" customWidth="1"/>
    <col min="3" max="3" width="13.453125" customWidth="1"/>
  </cols>
  <sheetData>
    <row r="1" spans="1:3" ht="31.5" customHeight="1" x14ac:dyDescent="0.35">
      <c r="A1" s="2" t="s">
        <v>0</v>
      </c>
      <c r="B1" s="2" t="s">
        <v>1</v>
      </c>
      <c r="C1" s="2" t="s">
        <v>2</v>
      </c>
    </row>
    <row r="2" spans="1:3" ht="31.5" customHeight="1" x14ac:dyDescent="0.35">
      <c r="A2" s="1">
        <v>12</v>
      </c>
      <c r="B2" s="1">
        <v>6</v>
      </c>
      <c r="C2" s="1">
        <f>A2+B2</f>
        <v>18</v>
      </c>
    </row>
    <row r="3" spans="1:3" ht="31.5" customHeight="1" x14ac:dyDescent="0.35">
      <c r="A3" s="1">
        <v>5</v>
      </c>
      <c r="B3" s="1">
        <v>25</v>
      </c>
      <c r="C3" s="1">
        <f>A3+B3</f>
        <v>30</v>
      </c>
    </row>
    <row r="4" spans="1:3" ht="31.5" customHeight="1" x14ac:dyDescent="0.35">
      <c r="A4" s="1">
        <v>44</v>
      </c>
      <c r="B4" s="1">
        <v>33</v>
      </c>
      <c r="C4" s="1">
        <f>A4+B4</f>
        <v>77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5" zoomScaleNormal="85" workbookViewId="0">
      <selection activeCell="E11" sqref="E11"/>
    </sheetView>
  </sheetViews>
  <sheetFormatPr defaultRowHeight="27.75" customHeight="1" x14ac:dyDescent="0.35"/>
  <cols>
    <col min="1" max="2" width="20.1796875" customWidth="1"/>
    <col min="3" max="3" width="13.453125" customWidth="1"/>
    <col min="4" max="12" width="6.7265625" customWidth="1"/>
  </cols>
  <sheetData>
    <row r="1" spans="1:10" ht="27.75" customHeight="1" x14ac:dyDescent="0.35">
      <c r="A1" s="2" t="s">
        <v>3</v>
      </c>
      <c r="B1" s="2" t="s">
        <v>4</v>
      </c>
      <c r="C1" s="2" t="s">
        <v>2</v>
      </c>
      <c r="E1" s="6"/>
      <c r="F1" s="7">
        <v>1</v>
      </c>
      <c r="G1" s="7">
        <v>2</v>
      </c>
      <c r="H1" s="7">
        <v>3</v>
      </c>
      <c r="I1" s="7">
        <v>4</v>
      </c>
      <c r="J1" s="7">
        <v>5</v>
      </c>
    </row>
    <row r="2" spans="1:10" ht="27.75" customHeight="1" x14ac:dyDescent="0.35">
      <c r="A2" s="3"/>
      <c r="B2" s="3"/>
      <c r="C2" s="3"/>
      <c r="E2" s="7">
        <v>1</v>
      </c>
      <c r="F2" s="6"/>
      <c r="G2" s="6"/>
      <c r="H2" s="6"/>
      <c r="I2" s="6"/>
      <c r="J2" s="6"/>
    </row>
    <row r="3" spans="1:10" ht="27.75" customHeight="1" x14ac:dyDescent="0.35">
      <c r="A3" s="3"/>
      <c r="B3" s="3"/>
      <c r="C3" s="3"/>
      <c r="E3" s="7">
        <v>2</v>
      </c>
      <c r="F3" s="6"/>
      <c r="G3" s="6"/>
      <c r="H3" s="6"/>
      <c r="I3" s="6"/>
      <c r="J3" s="6"/>
    </row>
    <row r="4" spans="1:10" ht="27.75" customHeight="1" x14ac:dyDescent="0.35">
      <c r="A4" s="3"/>
      <c r="B4" s="3"/>
      <c r="C4" s="3"/>
      <c r="E4" s="7">
        <v>3</v>
      </c>
      <c r="F4" s="6"/>
      <c r="G4" s="6"/>
      <c r="H4" s="6"/>
      <c r="I4" s="6"/>
      <c r="J4" s="6"/>
    </row>
    <row r="5" spans="1:10" ht="27.75" customHeight="1" x14ac:dyDescent="0.35">
      <c r="E5" s="7">
        <v>4</v>
      </c>
      <c r="F5" s="6"/>
      <c r="G5" s="6"/>
      <c r="H5" s="6"/>
      <c r="I5" s="6"/>
      <c r="J5" s="6"/>
    </row>
    <row r="6" spans="1:10" ht="27.75" customHeight="1" x14ac:dyDescent="0.35">
      <c r="E6" s="7">
        <v>5</v>
      </c>
      <c r="F6" s="6"/>
      <c r="G6" s="6"/>
      <c r="H6" s="6"/>
      <c r="I6" s="6"/>
      <c r="J6" s="6"/>
    </row>
    <row r="7" spans="1:10" ht="27.75" customHeight="1" x14ac:dyDescent="0.35">
      <c r="E7" s="6"/>
      <c r="F7" s="6"/>
      <c r="G7" s="6"/>
      <c r="H7" s="6"/>
      <c r="I7" s="6"/>
      <c r="J7" s="6"/>
    </row>
    <row r="10" spans="1:10" ht="27.75" customHeight="1" x14ac:dyDescent="0.35">
      <c r="A10" s="4" t="s">
        <v>3</v>
      </c>
    </row>
    <row r="11" spans="1:10" ht="27.75" customHeight="1" x14ac:dyDescent="0.35">
      <c r="A11" s="4" t="s">
        <v>4</v>
      </c>
    </row>
    <row r="12" spans="1:10" ht="27.75" customHeight="1" x14ac:dyDescent="0.4">
      <c r="A12" s="5" t="s">
        <v>5</v>
      </c>
    </row>
    <row r="13" spans="1:10" ht="27.75" customHeight="1" x14ac:dyDescent="0.4">
      <c r="A13" s="5" t="s">
        <v>6</v>
      </c>
    </row>
    <row r="14" spans="1:10" ht="27.75" customHeight="1" x14ac:dyDescent="0.4">
      <c r="A14" s="5" t="s">
        <v>7</v>
      </c>
    </row>
    <row r="15" spans="1:10" ht="27.75" customHeight="1" x14ac:dyDescent="0.4">
      <c r="A15" s="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115" zoomScaleNormal="115" workbookViewId="0">
      <selection activeCell="D4" sqref="D4:E4"/>
    </sheetView>
  </sheetViews>
  <sheetFormatPr defaultColWidth="9.1796875" defaultRowHeight="14.5" x14ac:dyDescent="0.35"/>
  <cols>
    <col min="1" max="5" width="14.54296875" style="8" customWidth="1"/>
    <col min="6" max="16384" width="9.1796875" style="8"/>
  </cols>
  <sheetData>
    <row r="1" spans="1:5" ht="18" x14ac:dyDescent="0.35">
      <c r="A1" s="35" t="s">
        <v>5</v>
      </c>
      <c r="B1" s="35" t="s">
        <v>6</v>
      </c>
      <c r="C1" s="35" t="s">
        <v>7</v>
      </c>
      <c r="D1" s="35" t="s">
        <v>8</v>
      </c>
      <c r="E1" s="9"/>
    </row>
    <row r="2" spans="1:5" ht="18" x14ac:dyDescent="0.35">
      <c r="A2" s="9" t="s">
        <v>15</v>
      </c>
      <c r="B2" s="9" t="s">
        <v>20</v>
      </c>
      <c r="C2" s="9" t="s">
        <v>21</v>
      </c>
      <c r="D2" s="9" t="s">
        <v>22</v>
      </c>
      <c r="E2" s="9"/>
    </row>
    <row r="3" spans="1:5" ht="18" x14ac:dyDescent="0.35">
      <c r="A3" s="9"/>
      <c r="B3" s="9"/>
      <c r="C3" s="9"/>
      <c r="D3" s="9"/>
      <c r="E3" s="9"/>
    </row>
    <row r="4" spans="1:5" ht="18" x14ac:dyDescent="0.35">
      <c r="A4" s="9"/>
      <c r="B4" s="9"/>
      <c r="C4" s="9"/>
      <c r="D4" s="35" t="s">
        <v>9</v>
      </c>
      <c r="E4" s="35" t="s">
        <v>10</v>
      </c>
    </row>
    <row r="5" spans="1:5" ht="18" x14ac:dyDescent="0.35">
      <c r="A5" s="9"/>
      <c r="B5" s="9"/>
      <c r="C5" s="9"/>
      <c r="D5" s="9" t="s">
        <v>11</v>
      </c>
      <c r="E5" s="9" t="s">
        <v>16</v>
      </c>
    </row>
    <row r="6" spans="1:5" ht="18" x14ac:dyDescent="0.35">
      <c r="A6" s="9"/>
      <c r="B6" s="9"/>
      <c r="C6" s="9"/>
      <c r="D6" s="9" t="s">
        <v>12</v>
      </c>
      <c r="E6" s="9" t="s">
        <v>17</v>
      </c>
    </row>
    <row r="7" spans="1:5" ht="18" x14ac:dyDescent="0.35">
      <c r="A7" s="9"/>
      <c r="B7" s="9"/>
      <c r="C7" s="9"/>
      <c r="D7" s="9" t="s">
        <v>13</v>
      </c>
      <c r="E7" s="9" t="s">
        <v>18</v>
      </c>
    </row>
    <row r="8" spans="1:5" ht="18" x14ac:dyDescent="0.35">
      <c r="A8" s="9"/>
      <c r="B8" s="9"/>
      <c r="C8" s="9"/>
      <c r="D8" s="9" t="s">
        <v>14</v>
      </c>
      <c r="E8" s="9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G1" sqref="G1"/>
    </sheetView>
  </sheetViews>
  <sheetFormatPr defaultRowHeight="14.5" x14ac:dyDescent="0.35"/>
  <cols>
    <col min="1" max="7" width="7.54296875" customWidth="1"/>
  </cols>
  <sheetData>
    <row r="1" spans="1:8" ht="27" customHeight="1" x14ac:dyDescent="0.35">
      <c r="A1" s="27"/>
      <c r="B1" s="27"/>
      <c r="C1" s="27"/>
      <c r="D1" s="27"/>
      <c r="E1" s="1"/>
      <c r="F1" s="1">
        <v>5</v>
      </c>
      <c r="G1" s="1">
        <v>8</v>
      </c>
      <c r="H1" s="27"/>
    </row>
    <row r="2" spans="1:8" ht="27" customHeight="1" x14ac:dyDescent="0.35">
      <c r="A2" s="1">
        <v>5</v>
      </c>
      <c r="B2" s="1">
        <v>6</v>
      </c>
      <c r="C2" s="13">
        <f>A2+B2</f>
        <v>11</v>
      </c>
      <c r="D2" s="27"/>
      <c r="E2" s="1">
        <v>1</v>
      </c>
      <c r="F2" s="13">
        <f>E2*F$1</f>
        <v>5</v>
      </c>
      <c r="G2" s="13">
        <f>E2*G$1</f>
        <v>8</v>
      </c>
      <c r="H2" s="27"/>
    </row>
    <row r="3" spans="1:8" ht="27" customHeight="1" x14ac:dyDescent="0.35">
      <c r="A3" s="1">
        <v>8</v>
      </c>
      <c r="B3" s="1">
        <v>5</v>
      </c>
      <c r="C3" s="13">
        <f>A3+B3</f>
        <v>13</v>
      </c>
      <c r="D3" s="27"/>
      <c r="E3" s="1">
        <v>2</v>
      </c>
      <c r="F3" s="13">
        <f>E3*F$1</f>
        <v>10</v>
      </c>
      <c r="G3" s="13">
        <f>E3*G$1</f>
        <v>16</v>
      </c>
      <c r="H3" s="27"/>
    </row>
    <row r="4" spans="1:8" ht="27" customHeight="1" x14ac:dyDescent="0.35">
      <c r="A4" s="27"/>
      <c r="B4" s="27"/>
      <c r="C4" s="27"/>
      <c r="D4" s="27"/>
      <c r="E4" s="1">
        <v>3</v>
      </c>
      <c r="F4" s="13">
        <f>E4*F$1</f>
        <v>15</v>
      </c>
      <c r="G4" s="13">
        <f>E4*G$1</f>
        <v>24</v>
      </c>
      <c r="H4" s="27"/>
    </row>
    <row r="5" spans="1:8" ht="27" customHeight="1" x14ac:dyDescent="0.35">
      <c r="A5" s="27"/>
      <c r="B5" s="27"/>
      <c r="C5" s="27"/>
      <c r="D5" s="27"/>
      <c r="E5" s="1">
        <v>4</v>
      </c>
      <c r="F5" s="13">
        <f>E5*F$1</f>
        <v>20</v>
      </c>
      <c r="G5" s="13">
        <f>E5*G$1</f>
        <v>32</v>
      </c>
      <c r="H5" s="27"/>
    </row>
    <row r="6" spans="1:8" ht="27" customHeight="1" x14ac:dyDescent="0.35">
      <c r="A6" s="27"/>
      <c r="B6" s="27"/>
      <c r="C6" s="27"/>
      <c r="D6" s="27"/>
      <c r="E6" s="1">
        <v>5</v>
      </c>
      <c r="F6" s="13">
        <f>E6*F$1</f>
        <v>25</v>
      </c>
      <c r="G6" s="13">
        <f>E6*G$1</f>
        <v>40</v>
      </c>
      <c r="H6" s="27"/>
    </row>
    <row r="7" spans="1:8" ht="27" customHeight="1" x14ac:dyDescent="0.35">
      <c r="A7" s="27"/>
      <c r="B7" s="27"/>
      <c r="C7" s="27"/>
      <c r="D7" s="27"/>
      <c r="E7" s="27"/>
      <c r="F7" s="27"/>
      <c r="G7" s="27"/>
      <c r="H7" s="27"/>
    </row>
    <row r="8" spans="1:8" ht="27" customHeight="1" x14ac:dyDescent="0.35">
      <c r="A8" s="27"/>
      <c r="B8" s="27"/>
      <c r="C8" s="27"/>
      <c r="D8" s="27"/>
      <c r="E8" s="27"/>
      <c r="F8" s="27"/>
      <c r="G8" s="27"/>
      <c r="H8" s="27"/>
    </row>
    <row r="9" spans="1:8" ht="27" customHeight="1" x14ac:dyDescent="0.35">
      <c r="A9" s="27"/>
      <c r="B9" s="27"/>
      <c r="C9" s="27"/>
      <c r="D9" s="27"/>
      <c r="E9" s="27"/>
      <c r="F9" s="27"/>
      <c r="G9" s="27"/>
      <c r="H9" s="27"/>
    </row>
    <row r="10" spans="1:8" ht="27" customHeight="1" x14ac:dyDescent="0.35">
      <c r="A10" s="1">
        <v>20</v>
      </c>
      <c r="B10" s="1">
        <v>20</v>
      </c>
      <c r="C10" s="1">
        <v>20</v>
      </c>
      <c r="D10" s="1">
        <v>20</v>
      </c>
      <c r="E10" s="27"/>
      <c r="F10" s="27"/>
      <c r="G10" s="27"/>
      <c r="H10" s="27"/>
    </row>
    <row r="11" spans="1:8" ht="27" customHeight="1" x14ac:dyDescent="0.35">
      <c r="A11" s="1">
        <v>8</v>
      </c>
      <c r="B11" s="1">
        <v>8</v>
      </c>
      <c r="C11" s="1">
        <v>8</v>
      </c>
      <c r="D11" s="1">
        <v>8</v>
      </c>
      <c r="E11" s="27"/>
      <c r="F11" s="27"/>
      <c r="G11" s="27"/>
      <c r="H11" s="27"/>
    </row>
    <row r="12" spans="1:8" ht="27" customHeight="1" x14ac:dyDescent="0.35">
      <c r="A12" s="13">
        <f>A10+A11</f>
        <v>28</v>
      </c>
      <c r="B12" s="13">
        <f>B10-B11</f>
        <v>12</v>
      </c>
      <c r="C12" s="13">
        <f>C10/C11</f>
        <v>2.5</v>
      </c>
      <c r="D12" s="13">
        <f>D10*D11</f>
        <v>160</v>
      </c>
      <c r="E12" s="27"/>
      <c r="F12" s="27"/>
      <c r="G12" s="27"/>
      <c r="H12" s="27"/>
    </row>
    <row r="13" spans="1:8" ht="27" customHeight="1" x14ac:dyDescent="0.35">
      <c r="A13" s="27"/>
      <c r="B13" s="27"/>
      <c r="C13" s="27"/>
      <c r="D13" s="27"/>
      <c r="E13" s="27"/>
      <c r="F13" s="27"/>
      <c r="G13" s="27"/>
      <c r="H13" s="27"/>
    </row>
    <row r="14" spans="1:8" ht="18" x14ac:dyDescent="0.4">
      <c r="A14" s="22"/>
      <c r="B14" s="22"/>
      <c r="C14" s="22"/>
      <c r="D14" s="22"/>
      <c r="E14" s="22"/>
      <c r="F14" s="22"/>
      <c r="G14" s="22"/>
      <c r="H14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zoomScale="85" zoomScaleNormal="85" workbookViewId="0">
      <selection activeCell="I9" sqref="I9"/>
    </sheetView>
  </sheetViews>
  <sheetFormatPr defaultRowHeight="14.5" x14ac:dyDescent="0.35"/>
  <cols>
    <col min="1" max="15" width="8.26953125" customWidth="1"/>
  </cols>
  <sheetData>
    <row r="1" spans="1:16" ht="28.5" customHeight="1" x14ac:dyDescent="0.35">
      <c r="A1" s="27"/>
      <c r="B1" s="1">
        <v>1</v>
      </c>
      <c r="C1" s="27"/>
      <c r="D1" s="27"/>
      <c r="E1" s="1">
        <v>1</v>
      </c>
      <c r="F1" s="1">
        <v>45</v>
      </c>
      <c r="G1" s="1">
        <v>126</v>
      </c>
      <c r="H1" s="1">
        <v>78</v>
      </c>
      <c r="I1" s="1">
        <v>5</v>
      </c>
      <c r="J1" s="1">
        <v>123</v>
      </c>
      <c r="K1" s="1">
        <v>456</v>
      </c>
      <c r="L1" s="1">
        <v>78</v>
      </c>
      <c r="M1" s="1">
        <v>1</v>
      </c>
      <c r="N1" s="1" t="s">
        <v>48</v>
      </c>
      <c r="O1" s="13">
        <f>SUM(E1:M1)</f>
        <v>913</v>
      </c>
      <c r="P1" s="27"/>
    </row>
    <row r="2" spans="1:16" ht="28.5" customHeight="1" x14ac:dyDescent="0.35">
      <c r="A2" s="27"/>
      <c r="B2" s="1">
        <v>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28.5" customHeight="1" x14ac:dyDescent="0.35">
      <c r="A3" s="27"/>
      <c r="B3" s="1">
        <v>59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t="28.5" customHeight="1" x14ac:dyDescent="0.35">
      <c r="A4" s="27"/>
      <c r="B4" s="1">
        <v>64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28.5" customHeight="1" x14ac:dyDescent="0.35">
      <c r="A5" s="27"/>
      <c r="B5" s="1">
        <v>32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28.5" customHeight="1" x14ac:dyDescent="0.35">
      <c r="A6" s="27"/>
      <c r="B6" s="1">
        <v>11</v>
      </c>
      <c r="C6" s="27"/>
      <c r="D6" s="27"/>
      <c r="E6" s="1">
        <v>12</v>
      </c>
      <c r="F6" s="1">
        <v>5</v>
      </c>
      <c r="G6" s="1">
        <v>123</v>
      </c>
      <c r="H6" s="1">
        <v>456</v>
      </c>
      <c r="I6" s="1">
        <v>6</v>
      </c>
      <c r="J6" s="27"/>
      <c r="K6" s="27"/>
      <c r="L6" s="27"/>
      <c r="M6" s="27"/>
      <c r="N6" s="27"/>
      <c r="O6" s="27"/>
      <c r="P6" s="27"/>
    </row>
    <row r="7" spans="1:16" ht="28.5" customHeight="1" x14ac:dyDescent="0.35">
      <c r="A7" s="27"/>
      <c r="B7" s="1">
        <v>54</v>
      </c>
      <c r="C7" s="27"/>
      <c r="D7" s="27"/>
      <c r="E7" s="1">
        <v>55</v>
      </c>
      <c r="F7" s="1">
        <v>2</v>
      </c>
      <c r="G7" s="1">
        <v>44</v>
      </c>
      <c r="H7" s="1">
        <v>45</v>
      </c>
      <c r="I7" s="1">
        <v>12</v>
      </c>
      <c r="J7" s="27"/>
      <c r="K7" s="27"/>
      <c r="L7" s="27"/>
      <c r="M7" s="27"/>
      <c r="N7" s="27"/>
      <c r="O7" s="27"/>
      <c r="P7" s="27"/>
    </row>
    <row r="8" spans="1:16" ht="28.5" customHeight="1" x14ac:dyDescent="0.35">
      <c r="A8" s="27"/>
      <c r="B8" s="1">
        <v>1</v>
      </c>
      <c r="C8" s="27"/>
      <c r="D8" s="27"/>
      <c r="E8" s="1">
        <v>565</v>
      </c>
      <c r="F8" s="1">
        <v>878</v>
      </c>
      <c r="G8" s="1">
        <v>87</v>
      </c>
      <c r="H8" s="1">
        <v>45</v>
      </c>
      <c r="I8" s="1">
        <v>352</v>
      </c>
      <c r="J8" s="27"/>
      <c r="K8" s="27"/>
      <c r="L8" s="27"/>
      <c r="M8" s="27"/>
      <c r="N8" s="27"/>
      <c r="O8" s="27"/>
      <c r="P8" s="27"/>
    </row>
    <row r="9" spans="1:16" ht="28.5" customHeight="1" x14ac:dyDescent="0.35">
      <c r="A9" s="27" t="s">
        <v>47</v>
      </c>
      <c r="B9" s="13">
        <f>SUM(B1:B8)</f>
        <v>227</v>
      </c>
      <c r="C9" s="27"/>
      <c r="D9" s="27"/>
      <c r="E9" s="27"/>
      <c r="F9" s="27"/>
      <c r="G9" s="27"/>
      <c r="H9" s="27" t="s">
        <v>48</v>
      </c>
      <c r="I9" s="28">
        <f>SUM(E6:I8)</f>
        <v>2687</v>
      </c>
      <c r="J9" s="27"/>
      <c r="K9" s="27"/>
      <c r="L9" s="27"/>
      <c r="M9" s="27"/>
      <c r="N9" s="27"/>
      <c r="O9" s="27"/>
      <c r="P9" s="27"/>
    </row>
    <row r="10" spans="1:16" ht="18" x14ac:dyDescent="0.3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 ht="18" x14ac:dyDescent="0.3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opLeftCell="D1" workbookViewId="0">
      <selection activeCell="Q4" sqref="Q4"/>
    </sheetView>
  </sheetViews>
  <sheetFormatPr defaultRowHeight="14.5" x14ac:dyDescent="0.35"/>
  <cols>
    <col min="1" max="3" width="14.453125" customWidth="1"/>
    <col min="6" max="8" width="14" customWidth="1"/>
    <col min="11" max="17" width="14.7265625" customWidth="1"/>
  </cols>
  <sheetData>
    <row r="1" spans="1:17" ht="18" x14ac:dyDescent="0.35">
      <c r="A1" s="14" t="s">
        <v>52</v>
      </c>
      <c r="B1" s="14" t="s">
        <v>53</v>
      </c>
      <c r="C1" s="14" t="s">
        <v>49</v>
      </c>
      <c r="D1" s="27"/>
      <c r="E1" s="27"/>
      <c r="F1" s="14" t="s">
        <v>52</v>
      </c>
      <c r="G1" s="14" t="s">
        <v>53</v>
      </c>
      <c r="H1" s="14" t="s">
        <v>50</v>
      </c>
      <c r="I1" s="27"/>
      <c r="J1" s="27"/>
      <c r="K1" s="14" t="s">
        <v>52</v>
      </c>
      <c r="L1" s="1">
        <v>44</v>
      </c>
      <c r="M1" s="1">
        <v>56</v>
      </c>
      <c r="N1" s="1">
        <v>78</v>
      </c>
      <c r="O1" s="1">
        <v>99</v>
      </c>
      <c r="P1" s="1">
        <v>100</v>
      </c>
      <c r="Q1" s="1">
        <v>66</v>
      </c>
    </row>
    <row r="2" spans="1:17" ht="18" x14ac:dyDescent="0.35">
      <c r="A2" s="1">
        <v>2</v>
      </c>
      <c r="B2" s="1">
        <v>5</v>
      </c>
      <c r="C2" s="1">
        <f>A2+B2</f>
        <v>7</v>
      </c>
      <c r="D2" s="27"/>
      <c r="E2" s="27"/>
      <c r="F2" s="1">
        <v>5</v>
      </c>
      <c r="G2" s="1">
        <v>12</v>
      </c>
      <c r="H2" s="1">
        <f t="shared" ref="H2:H7" si="0">F2*G2</f>
        <v>60</v>
      </c>
      <c r="I2" s="27"/>
      <c r="J2" s="27"/>
      <c r="K2" s="14" t="s">
        <v>53</v>
      </c>
      <c r="L2" s="1">
        <v>35</v>
      </c>
      <c r="M2" s="1">
        <v>12</v>
      </c>
      <c r="N2" s="1">
        <v>56</v>
      </c>
      <c r="O2" s="1">
        <v>32</v>
      </c>
      <c r="P2" s="1">
        <v>2</v>
      </c>
      <c r="Q2" s="1">
        <v>2</v>
      </c>
    </row>
    <row r="3" spans="1:17" ht="18" x14ac:dyDescent="0.35">
      <c r="A3" s="1">
        <v>4</v>
      </c>
      <c r="B3" s="1">
        <v>6</v>
      </c>
      <c r="C3" s="1">
        <f>A3+B3</f>
        <v>10</v>
      </c>
      <c r="D3" s="27"/>
      <c r="E3" s="27"/>
      <c r="F3" s="1">
        <v>45</v>
      </c>
      <c r="G3" s="1">
        <v>35</v>
      </c>
      <c r="H3" s="1">
        <f t="shared" si="0"/>
        <v>1575</v>
      </c>
      <c r="I3" s="27"/>
      <c r="J3" s="27"/>
      <c r="K3" s="14" t="s">
        <v>54</v>
      </c>
      <c r="L3" s="1">
        <v>2</v>
      </c>
      <c r="M3" s="1">
        <v>1</v>
      </c>
      <c r="N3" s="1">
        <v>3</v>
      </c>
      <c r="O3" s="1">
        <v>2</v>
      </c>
      <c r="P3" s="1">
        <v>1</v>
      </c>
      <c r="Q3" s="1">
        <v>13</v>
      </c>
    </row>
    <row r="4" spans="1:17" ht="18" x14ac:dyDescent="0.35">
      <c r="A4" s="1">
        <v>66</v>
      </c>
      <c r="B4" s="1">
        <v>45</v>
      </c>
      <c r="C4" s="1">
        <f>A4+B4</f>
        <v>111</v>
      </c>
      <c r="D4" s="27"/>
      <c r="E4" s="27"/>
      <c r="F4" s="1">
        <v>78</v>
      </c>
      <c r="G4" s="1">
        <v>45</v>
      </c>
      <c r="H4" s="1">
        <f t="shared" si="0"/>
        <v>3510</v>
      </c>
      <c r="I4" s="27"/>
      <c r="J4" s="27"/>
      <c r="K4" s="14" t="s">
        <v>51</v>
      </c>
      <c r="L4" s="1">
        <f t="shared" ref="L4:Q4" si="1">L1-L2-L3</f>
        <v>7</v>
      </c>
      <c r="M4" s="1">
        <f t="shared" si="1"/>
        <v>43</v>
      </c>
      <c r="N4" s="1">
        <f t="shared" si="1"/>
        <v>19</v>
      </c>
      <c r="O4" s="1">
        <f t="shared" si="1"/>
        <v>65</v>
      </c>
      <c r="P4" s="1">
        <f t="shared" si="1"/>
        <v>97</v>
      </c>
      <c r="Q4" s="1">
        <f t="shared" si="1"/>
        <v>51</v>
      </c>
    </row>
    <row r="5" spans="1:17" ht="18" x14ac:dyDescent="0.35">
      <c r="A5" s="1">
        <v>95</v>
      </c>
      <c r="B5" s="1">
        <v>32</v>
      </c>
      <c r="C5" s="1">
        <f>A5+B5</f>
        <v>127</v>
      </c>
      <c r="D5" s="27"/>
      <c r="E5" s="27"/>
      <c r="F5" s="1">
        <v>15</v>
      </c>
      <c r="G5" s="1">
        <v>8</v>
      </c>
      <c r="H5" s="1">
        <f t="shared" si="0"/>
        <v>120</v>
      </c>
      <c r="I5" s="27"/>
      <c r="J5" s="27"/>
      <c r="K5" s="27"/>
      <c r="L5" s="27"/>
      <c r="M5" s="27"/>
      <c r="N5" s="27"/>
      <c r="O5" s="27"/>
      <c r="P5" s="27"/>
      <c r="Q5" s="27"/>
    </row>
    <row r="6" spans="1:17" ht="18" x14ac:dyDescent="0.35">
      <c r="A6" s="27"/>
      <c r="B6" s="27"/>
      <c r="C6" s="27"/>
      <c r="D6" s="27"/>
      <c r="E6" s="27"/>
      <c r="F6" s="1">
        <v>65</v>
      </c>
      <c r="G6" s="1">
        <v>15</v>
      </c>
      <c r="H6" s="1">
        <f t="shared" si="0"/>
        <v>975</v>
      </c>
      <c r="I6" s="27"/>
      <c r="J6" s="27"/>
      <c r="K6" s="27"/>
      <c r="L6" s="27"/>
      <c r="M6" s="27"/>
      <c r="N6" s="27"/>
      <c r="O6" s="27"/>
      <c r="P6" s="27"/>
      <c r="Q6" s="27"/>
    </row>
    <row r="7" spans="1:17" ht="18" x14ac:dyDescent="0.35">
      <c r="A7" s="27"/>
      <c r="B7" s="27"/>
      <c r="C7" s="27"/>
      <c r="D7" s="27"/>
      <c r="E7" s="27"/>
      <c r="F7" s="1">
        <v>98</v>
      </c>
      <c r="G7" s="1">
        <v>32</v>
      </c>
      <c r="H7" s="1">
        <f t="shared" si="0"/>
        <v>3136</v>
      </c>
      <c r="I7" s="27"/>
      <c r="J7" s="27"/>
      <c r="K7" s="27"/>
      <c r="L7" s="27"/>
      <c r="M7" s="27"/>
      <c r="N7" s="27"/>
      <c r="O7" s="27"/>
      <c r="P7" s="27"/>
      <c r="Q7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="55" zoomScaleNormal="55" workbookViewId="0">
      <selection activeCell="B13" sqref="B13"/>
    </sheetView>
  </sheetViews>
  <sheetFormatPr defaultRowHeight="14.5" x14ac:dyDescent="0.35"/>
  <cols>
    <col min="1" max="1" width="17.26953125" customWidth="1"/>
    <col min="2" max="2" width="23.26953125" customWidth="1"/>
  </cols>
  <sheetData>
    <row r="1" spans="1:2" ht="27" customHeight="1" x14ac:dyDescent="0.35">
      <c r="A1" s="14" t="s">
        <v>55</v>
      </c>
      <c r="B1" s="14" t="s">
        <v>56</v>
      </c>
    </row>
    <row r="2" spans="1:2" ht="27" customHeight="1" x14ac:dyDescent="0.35">
      <c r="A2" s="1" t="s">
        <v>57</v>
      </c>
      <c r="B2" s="1">
        <v>3</v>
      </c>
    </row>
    <row r="3" spans="1:2" ht="27" customHeight="1" x14ac:dyDescent="0.35">
      <c r="A3" s="1" t="s">
        <v>58</v>
      </c>
      <c r="B3" s="1">
        <v>5</v>
      </c>
    </row>
    <row r="4" spans="1:2" ht="27" customHeight="1" x14ac:dyDescent="0.35">
      <c r="A4" s="1" t="s">
        <v>59</v>
      </c>
      <c r="B4" s="1">
        <v>9</v>
      </c>
    </row>
    <row r="5" spans="1:2" ht="27" customHeight="1" x14ac:dyDescent="0.35">
      <c r="A5" s="1" t="s">
        <v>60</v>
      </c>
      <c r="B5" s="1">
        <v>11</v>
      </c>
    </row>
    <row r="6" spans="1:2" ht="27" customHeight="1" x14ac:dyDescent="0.35">
      <c r="A6" s="1" t="s">
        <v>61</v>
      </c>
      <c r="B6" s="1">
        <v>18</v>
      </c>
    </row>
    <row r="7" spans="1:2" ht="27" customHeight="1" x14ac:dyDescent="0.35">
      <c r="A7" s="1" t="s">
        <v>62</v>
      </c>
      <c r="B7" s="1">
        <v>24</v>
      </c>
    </row>
    <row r="8" spans="1:2" ht="27" customHeight="1" x14ac:dyDescent="0.35">
      <c r="A8" s="1" t="s">
        <v>63</v>
      </c>
      <c r="B8" s="1">
        <v>29</v>
      </c>
    </row>
    <row r="9" spans="1:2" ht="27" customHeight="1" x14ac:dyDescent="0.35">
      <c r="A9" s="1" t="s">
        <v>64</v>
      </c>
      <c r="B9" s="1">
        <v>33</v>
      </c>
    </row>
    <row r="10" spans="1:2" ht="27" customHeight="1" x14ac:dyDescent="0.35">
      <c r="A10" s="1" t="s">
        <v>65</v>
      </c>
      <c r="B10" s="1">
        <v>28</v>
      </c>
    </row>
    <row r="11" spans="1:2" ht="27" customHeight="1" x14ac:dyDescent="0.35">
      <c r="A11" s="1" t="s">
        <v>66</v>
      </c>
      <c r="B11" s="1">
        <v>18</v>
      </c>
    </row>
    <row r="12" spans="1:2" ht="27" customHeight="1" x14ac:dyDescent="0.35">
      <c r="A12" s="1" t="s">
        <v>67</v>
      </c>
      <c r="B12" s="1">
        <v>12</v>
      </c>
    </row>
    <row r="13" spans="1:2" ht="27" customHeight="1" x14ac:dyDescent="0.35">
      <c r="A13" s="1" t="s">
        <v>68</v>
      </c>
      <c r="B13" s="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4.5" x14ac:dyDescent="0.35"/>
  <cols>
    <col min="1" max="2" width="14.453125" customWidth="1"/>
  </cols>
  <sheetData>
    <row r="1" spans="1:2" ht="17.5" x14ac:dyDescent="0.35">
      <c r="A1" s="14" t="s">
        <v>52</v>
      </c>
      <c r="B1" s="14" t="s">
        <v>53</v>
      </c>
    </row>
    <row r="2" spans="1:2" ht="18" x14ac:dyDescent="0.35">
      <c r="A2" s="1">
        <v>10</v>
      </c>
      <c r="B2" s="1">
        <v>5</v>
      </c>
    </row>
    <row r="3" spans="1:2" ht="18" x14ac:dyDescent="0.35">
      <c r="A3" s="27"/>
      <c r="B3" s="27"/>
    </row>
    <row r="4" spans="1:2" ht="18" x14ac:dyDescent="0.35">
      <c r="A4" s="15" t="s">
        <v>5</v>
      </c>
      <c r="B4" s="1">
        <f>A2+B2</f>
        <v>15</v>
      </c>
    </row>
    <row r="5" spans="1:2" ht="18" x14ac:dyDescent="0.35">
      <c r="A5" s="15" t="s">
        <v>6</v>
      </c>
      <c r="B5" s="1">
        <f>A2-B2</f>
        <v>5</v>
      </c>
    </row>
    <row r="6" spans="1:2" ht="18" x14ac:dyDescent="0.35">
      <c r="A6" s="15" t="s">
        <v>7</v>
      </c>
      <c r="B6" s="1">
        <f>A2/B2</f>
        <v>2</v>
      </c>
    </row>
    <row r="7" spans="1:2" ht="18" x14ac:dyDescent="0.35">
      <c r="A7" s="15" t="s">
        <v>8</v>
      </c>
      <c r="B7" s="1">
        <f>A2*B2</f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>
      <selection activeCell="A9" sqref="A9:A11"/>
    </sheetView>
  </sheetViews>
  <sheetFormatPr defaultColWidth="16.54296875" defaultRowHeight="18" x14ac:dyDescent="0.35"/>
  <cols>
    <col min="1" max="4" width="16" style="11" customWidth="1"/>
    <col min="5" max="5" width="16.26953125" style="11" customWidth="1"/>
    <col min="6" max="6" width="14.1796875" style="11" customWidth="1"/>
    <col min="7" max="16384" width="16.54296875" style="11"/>
  </cols>
  <sheetData>
    <row r="1" spans="1:6" ht="60.75" customHeight="1" x14ac:dyDescent="0.3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</row>
    <row r="2" spans="1:6" x14ac:dyDescent="0.35">
      <c r="A2" s="36" t="s">
        <v>29</v>
      </c>
      <c r="B2" s="10">
        <v>1.2</v>
      </c>
      <c r="C2" s="10">
        <v>3</v>
      </c>
      <c r="D2" s="10">
        <v>10</v>
      </c>
      <c r="E2" s="10">
        <f>B2*D2</f>
        <v>12</v>
      </c>
      <c r="F2" s="10">
        <f>C2*D2</f>
        <v>30</v>
      </c>
    </row>
    <row r="3" spans="1:6" x14ac:dyDescent="0.35">
      <c r="A3" s="36" t="s">
        <v>30</v>
      </c>
      <c r="B3" s="10">
        <v>1</v>
      </c>
      <c r="C3" s="10">
        <v>2.5</v>
      </c>
      <c r="D3" s="10">
        <v>10</v>
      </c>
      <c r="E3" s="10">
        <f>B3*D3</f>
        <v>10</v>
      </c>
      <c r="F3" s="10">
        <f>C3*D3</f>
        <v>25</v>
      </c>
    </row>
    <row r="4" spans="1:6" x14ac:dyDescent="0.35">
      <c r="A4" s="36" t="s">
        <v>31</v>
      </c>
      <c r="B4" s="10">
        <v>0.5</v>
      </c>
      <c r="C4" s="10">
        <v>2</v>
      </c>
      <c r="D4" s="10">
        <v>10</v>
      </c>
      <c r="E4" s="10">
        <f>B4*D4</f>
        <v>5</v>
      </c>
      <c r="F4" s="10">
        <f>C4*D4</f>
        <v>20</v>
      </c>
    </row>
    <row r="5" spans="1:6" x14ac:dyDescent="0.35">
      <c r="A5" s="36" t="s">
        <v>32</v>
      </c>
      <c r="B5" s="10">
        <v>1</v>
      </c>
      <c r="C5" s="10">
        <v>3</v>
      </c>
      <c r="D5" s="10">
        <v>10</v>
      </c>
      <c r="E5" s="10">
        <f>B5*D5</f>
        <v>10</v>
      </c>
      <c r="F5" s="10">
        <f>C5*D5</f>
        <v>30</v>
      </c>
    </row>
    <row r="8" spans="1:6" x14ac:dyDescent="0.35">
      <c r="C8" s="34" t="s">
        <v>39</v>
      </c>
      <c r="D8" s="34"/>
    </row>
    <row r="9" spans="1:6" ht="35" x14ac:dyDescent="0.35">
      <c r="A9" s="36" t="s">
        <v>33</v>
      </c>
      <c r="B9" s="10">
        <f>E2+E3+E4+E5</f>
        <v>37</v>
      </c>
      <c r="C9" s="32" t="s">
        <v>36</v>
      </c>
      <c r="D9" s="33"/>
    </row>
    <row r="10" spans="1:6" ht="35" x14ac:dyDescent="0.35">
      <c r="A10" s="36" t="s">
        <v>34</v>
      </c>
      <c r="B10" s="10">
        <f>F2+F3+F4+F5</f>
        <v>105</v>
      </c>
      <c r="C10" s="32" t="s">
        <v>37</v>
      </c>
      <c r="D10" s="33"/>
    </row>
    <row r="11" spans="1:6" x14ac:dyDescent="0.35">
      <c r="A11" s="36" t="s">
        <v>35</v>
      </c>
      <c r="B11" s="10">
        <f>B10-B9</f>
        <v>68</v>
      </c>
      <c r="C11" s="32" t="s">
        <v>38</v>
      </c>
      <c r="D11" s="33"/>
    </row>
  </sheetData>
  <mergeCells count="4">
    <mergeCell ref="C9:D9"/>
    <mergeCell ref="C10:D10"/>
    <mergeCell ref="C11:D11"/>
    <mergeCell ref="C8:D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85" zoomScaleNormal="85" workbookViewId="0">
      <selection activeCell="I16" sqref="I16"/>
    </sheetView>
  </sheetViews>
  <sheetFormatPr defaultRowHeight="14.5" x14ac:dyDescent="0.35"/>
  <cols>
    <col min="1" max="1" width="40.81640625" customWidth="1"/>
    <col min="4" max="4" width="34.54296875" customWidth="1"/>
    <col min="7" max="7" width="25.54296875" customWidth="1"/>
  </cols>
  <sheetData>
    <row r="1" spans="1:8" ht="27" customHeight="1" x14ac:dyDescent="0.35">
      <c r="A1" s="29" t="s">
        <v>69</v>
      </c>
      <c r="B1" s="1"/>
      <c r="C1" s="1"/>
      <c r="D1" s="29" t="s">
        <v>73</v>
      </c>
      <c r="E1" s="1"/>
      <c r="F1" s="1"/>
      <c r="G1" s="29" t="s">
        <v>40</v>
      </c>
      <c r="H1" s="30">
        <v>20</v>
      </c>
    </row>
    <row r="2" spans="1:8" ht="27" customHeight="1" x14ac:dyDescent="0.35">
      <c r="A2" s="29" t="s">
        <v>70</v>
      </c>
      <c r="B2" s="30" t="s">
        <v>74</v>
      </c>
      <c r="C2" s="1"/>
      <c r="D2" s="29" t="s">
        <v>70</v>
      </c>
      <c r="E2" s="30" t="s">
        <v>74</v>
      </c>
      <c r="F2" s="1"/>
      <c r="G2" s="1"/>
      <c r="H2" s="1"/>
    </row>
    <row r="3" spans="1:8" ht="27" customHeight="1" x14ac:dyDescent="0.35">
      <c r="A3" s="29" t="s">
        <v>71</v>
      </c>
      <c r="B3" s="30">
        <v>500</v>
      </c>
      <c r="C3" s="1"/>
      <c r="D3" s="29" t="s">
        <v>75</v>
      </c>
      <c r="E3" s="30">
        <v>25</v>
      </c>
      <c r="F3" s="1"/>
      <c r="G3" s="1"/>
      <c r="H3" s="1"/>
    </row>
    <row r="4" spans="1:8" ht="27" customHeight="1" x14ac:dyDescent="0.35">
      <c r="A4" s="29" t="s">
        <v>72</v>
      </c>
      <c r="B4" s="30">
        <v>200</v>
      </c>
      <c r="C4" s="1"/>
      <c r="D4" s="29" t="s">
        <v>76</v>
      </c>
      <c r="E4" s="30">
        <v>1</v>
      </c>
      <c r="F4" s="1"/>
      <c r="G4" s="1"/>
      <c r="H4" s="1"/>
    </row>
    <row r="5" spans="1:8" ht="27" customHeight="1" x14ac:dyDescent="0.35">
      <c r="A5" s="15"/>
      <c r="B5" s="1"/>
      <c r="C5" s="1"/>
      <c r="D5" s="29" t="s">
        <v>77</v>
      </c>
      <c r="E5" s="30">
        <v>2</v>
      </c>
      <c r="F5" s="1"/>
      <c r="G5" s="1"/>
      <c r="H5" s="1"/>
    </row>
    <row r="6" spans="1:8" ht="27" customHeight="1" x14ac:dyDescent="0.35">
      <c r="A6" s="15"/>
      <c r="B6" s="1"/>
      <c r="C6" s="1"/>
      <c r="D6" s="29" t="s">
        <v>71</v>
      </c>
      <c r="E6" s="31">
        <f>B3/H1</f>
        <v>25</v>
      </c>
      <c r="F6" s="1"/>
      <c r="G6" s="1"/>
      <c r="H6" s="1"/>
    </row>
    <row r="7" spans="1:8" ht="27" customHeight="1" x14ac:dyDescent="0.35">
      <c r="A7" s="15"/>
      <c r="B7" s="1"/>
      <c r="C7" s="1"/>
      <c r="D7" s="29" t="s">
        <v>78</v>
      </c>
      <c r="E7" s="31">
        <f>B4/H1</f>
        <v>10</v>
      </c>
      <c r="F7" s="1"/>
      <c r="G7" s="1"/>
      <c r="H7" s="1"/>
    </row>
    <row r="8" spans="1:8" ht="27" customHeight="1" x14ac:dyDescent="0.35">
      <c r="A8" s="15"/>
      <c r="B8" s="1"/>
      <c r="C8" s="1"/>
      <c r="D8" s="1"/>
      <c r="E8" s="1"/>
      <c r="F8" s="1"/>
      <c r="G8" s="1"/>
      <c r="H8" s="1"/>
    </row>
    <row r="9" spans="1:8" ht="27" customHeight="1" x14ac:dyDescent="0.35">
      <c r="A9" s="29" t="s">
        <v>73</v>
      </c>
      <c r="B9" s="31">
        <f>SUM(E3:E7)</f>
        <v>63</v>
      </c>
      <c r="C9" s="1"/>
      <c r="D9" s="1"/>
      <c r="E9" s="1"/>
      <c r="F9" s="1"/>
      <c r="G9" s="1"/>
      <c r="H9" s="1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1-1-mashg'ulot</vt:lpstr>
      <vt:lpstr>1-2-mashg'ulot</vt:lpstr>
      <vt:lpstr>2-mashg'ulot</vt:lpstr>
      <vt:lpstr>2-1-mashg'ulot</vt:lpstr>
      <vt:lpstr>2-3-mashg'ulot</vt:lpstr>
      <vt:lpstr>3-mashg'ulot</vt:lpstr>
      <vt:lpstr>4-mashg'ulot</vt:lpstr>
      <vt:lpstr>5-mashg'ulot</vt:lpstr>
      <vt:lpstr>6-mashg'ulot</vt:lpstr>
      <vt:lpstr>7-mashg'ulot</vt:lpstr>
      <vt:lpstr>8-mashg'ulot</vt:lpstr>
      <vt:lpstr>Shokolad</vt:lpstr>
      <vt:lpstr>Sayohat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2026-02-09T09:24:23Z</dcterms:created>
  <dcterms:modified xsi:type="dcterms:W3CDTF">2026-02-28T17:54:19Z</dcterms:modified>
</cp:coreProperties>
</file>